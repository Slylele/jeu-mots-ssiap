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2104474\OneDrive - DAHER\Documents\WORK\PYTHON\apps\JeuMotsSSIAP\"/>
    </mc:Choice>
  </mc:AlternateContent>
  <xr:revisionPtr revIDLastSave="0" documentId="13_ncr:1_{938768F3-0012-4666-BAC6-C78EFEEF7733}" xr6:coauthVersionLast="47" xr6:coauthVersionMax="47" xr10:uidLastSave="{00000000-0000-0000-0000-000000000000}"/>
  <bookViews>
    <workbookView xWindow="-120" yWindow="-120" windowWidth="29040" windowHeight="15720" activeTab="1" xr2:uid="{00000000-000D-0000-FFFF-FFFF00000000}"/>
  </bookViews>
  <sheets>
    <sheet name="Definitions" sheetId="4" r:id="rId1"/>
    <sheet name="Liste_Questions" sheetId="1" r:id="rId2"/>
    <sheet name="Liste_UV" sheetId="2" r:id="rId3"/>
    <sheet name="Feuil1" sheetId="3" r:id="rId4"/>
  </sheets>
  <definedNames>
    <definedName name="_1001bqsllr6s" localSheetId="3">Feuil1!$A$29</definedName>
    <definedName name="_1fvuqjs6xfvv" localSheetId="3">Feuil1!$A$11</definedName>
    <definedName name="_1h997plu2r3q" localSheetId="3">Feuil1!#REF!</definedName>
    <definedName name="_1jsutjyckwia" localSheetId="3">Feuil1!$A$17</definedName>
    <definedName name="_1x11d5k5io24" localSheetId="3">Feuil1!#REF!</definedName>
    <definedName name="_25b71xk2i301" localSheetId="3">Feuil1!#REF!</definedName>
    <definedName name="_292kgykq0ye" localSheetId="3">Feuil1!$A$6</definedName>
    <definedName name="_2fo8i9cznxdf" localSheetId="3">Feuil1!$A$32</definedName>
    <definedName name="_2k99lr79hl9i" localSheetId="3">Feuil1!$A$5</definedName>
    <definedName name="_2utln1nfnqsx" localSheetId="3">Feuil1!$A$2</definedName>
    <definedName name="_3bxdsxq7p8gw" localSheetId="3">Feuil1!#REF!</definedName>
    <definedName name="_3f34v0rndqst" localSheetId="3">Feuil1!$A$31</definedName>
    <definedName name="_3ra657p5rfks" localSheetId="3">Feuil1!$A$4</definedName>
    <definedName name="_5ocrwot4q9or" localSheetId="3">Feuil1!#REF!</definedName>
    <definedName name="_62p8mewzupdh" localSheetId="3">Feuil1!$A$9</definedName>
    <definedName name="_63ehbuvcc3tw" localSheetId="3">Feuil1!#REF!</definedName>
    <definedName name="_6g3puvkrrskn" localSheetId="3">Feuil1!#REF!</definedName>
    <definedName name="_6onwknd2sl70" localSheetId="3">Feuil1!$A$7</definedName>
    <definedName name="_6sxpqe84lwy" localSheetId="3">Feuil1!#REF!</definedName>
    <definedName name="_6tacmrebr1p5" localSheetId="3">Feuil1!$A$3</definedName>
    <definedName name="_76u3b285zost" localSheetId="3">Feuil1!#REF!</definedName>
    <definedName name="_76x8livz92e3" localSheetId="3">Feuil1!#REF!</definedName>
    <definedName name="_7npq3rapq3b5" localSheetId="3">Feuil1!#REF!</definedName>
    <definedName name="_847vco2er5vx" localSheetId="3">Feuil1!#REF!</definedName>
    <definedName name="_8i1gdydhdqo8" localSheetId="3">Feuil1!#REF!</definedName>
    <definedName name="_8vd2wc5v9auo" localSheetId="3">Feuil1!#REF!</definedName>
    <definedName name="_92rzspumfy17" localSheetId="3">Feuil1!#REF!</definedName>
    <definedName name="_9cwk9m71vyqu" localSheetId="3">Feuil1!$A$34</definedName>
    <definedName name="_9hexdyk5v0wx" localSheetId="3">Feuil1!#REF!</definedName>
    <definedName name="_9jeesbxf4272" localSheetId="3">Feuil1!#REF!</definedName>
    <definedName name="_9o8iqnw0882k" localSheetId="3">Feuil1!#REF!</definedName>
    <definedName name="_9z5isgtp0zf3" localSheetId="3">Feuil1!$A$14</definedName>
    <definedName name="_a1blj5gc9j8j" localSheetId="3">Feuil1!#REF!</definedName>
    <definedName name="_a20iajxrewtn" localSheetId="3">Feuil1!#REF!</definedName>
    <definedName name="_a75ul79bzp21" localSheetId="3">Feuil1!#REF!</definedName>
    <definedName name="_atn6jtpgu1zu" localSheetId="3">Feuil1!$A$6</definedName>
    <definedName name="_b77wlvmmh9wq" localSheetId="3">Feuil1!#REF!</definedName>
    <definedName name="_be1fc6ea00hk" localSheetId="3">Feuil1!#REF!</definedName>
    <definedName name="_bp1acu9t2l5c" localSheetId="3">Feuil1!$A$16</definedName>
    <definedName name="_byzztlualq0q" localSheetId="3">Feuil1!#REF!</definedName>
    <definedName name="_ccy2pemctn8p" localSheetId="3">Feuil1!#REF!</definedName>
    <definedName name="_cgwcoegbkvui" localSheetId="3">Feuil1!$A$2</definedName>
    <definedName name="_chgzqrac0okr" localSheetId="3">Feuil1!#REF!</definedName>
    <definedName name="_dpycrk4r0ton" localSheetId="3">Feuil1!$A$30</definedName>
    <definedName name="_dsfs3jx2eyse" localSheetId="3">Feuil1!$A$15</definedName>
    <definedName name="_dwwrsfcgojso" localSheetId="3">Feuil1!#REF!</definedName>
    <definedName name="_e8p5frs5ytai" localSheetId="3">Feuil1!$A$3</definedName>
    <definedName name="_eltq1ml39i8g" localSheetId="3">Feuil1!#REF!</definedName>
    <definedName name="_f4und4vdlss2" localSheetId="3">Feuil1!#REF!</definedName>
    <definedName name="_xlnm._FilterDatabase" localSheetId="1" hidden="1">Liste_Questions!$A$1:$K$312</definedName>
    <definedName name="_g0y5qe76r34g" localSheetId="3">Feuil1!#REF!</definedName>
    <definedName name="_g70xgby2qf4" localSheetId="3">Feuil1!$A$4</definedName>
    <definedName name="_g8ek9utgccwp" localSheetId="3">Feuil1!#REF!</definedName>
    <definedName name="_g9qmie434sne" localSheetId="3">Feuil1!#REF!</definedName>
    <definedName name="_gawbf46ma6oj" localSheetId="3">Feuil1!#REF!</definedName>
    <definedName name="_gelkcw7y8ynz" localSheetId="3">Feuil1!#REF!</definedName>
    <definedName name="_gfdhz1jncvev" localSheetId="3">Feuil1!$A$20</definedName>
    <definedName name="_h0mvoz49fm6v" localSheetId="3">Feuil1!$A$12</definedName>
    <definedName name="_hdt4xnw2zsex" localSheetId="3">Feuil1!#REF!</definedName>
    <definedName name="_hm9eh7d297ex" localSheetId="3">Feuil1!#REF!</definedName>
    <definedName name="_hmf5bodeq1eo" localSheetId="3">Feuil1!#REF!</definedName>
    <definedName name="_hplm79wzz7gn" localSheetId="3">Feuil1!#REF!</definedName>
    <definedName name="_i1nfs8unu8of" localSheetId="3">Feuil1!#REF!</definedName>
    <definedName name="_i84ik2pub0j3" localSheetId="3">Feuil1!#REF!</definedName>
    <definedName name="_ieozcmlv3r2" localSheetId="3">Feuil1!#REF!</definedName>
    <definedName name="_iqeveq8of09t" localSheetId="3">Feuil1!#REF!</definedName>
    <definedName name="_j9lo7fkxjlb" localSheetId="3">Feuil1!#REF!</definedName>
    <definedName name="_jwlnc0tny6dc" localSheetId="3">Feuil1!$A$18</definedName>
    <definedName name="_k02g03plkywz" localSheetId="3">Feuil1!$A$23</definedName>
    <definedName name="_kc00q4gy8hb8" localSheetId="3">Feuil1!#REF!</definedName>
    <definedName name="_kg2jlon5v06" localSheetId="3">Feuil1!#REF!</definedName>
    <definedName name="_kor4i06yw3hg" localSheetId="3">Feuil1!#REF!</definedName>
    <definedName name="_kwnngch1lt48" localSheetId="3">Feuil1!#REF!</definedName>
    <definedName name="_lm3itvo759q" localSheetId="3">Feuil1!$A$8</definedName>
    <definedName name="_lscd2hhwq3g1" localSheetId="3">Feuil1!$A$26</definedName>
    <definedName name="_lx174ek5g80a" localSheetId="3">Feuil1!#REF!</definedName>
    <definedName name="_n4mqiy9hj47v" localSheetId="3">Feuil1!$A$24</definedName>
    <definedName name="_nyqwx0jkl5qi" localSheetId="3">Feuil1!#REF!</definedName>
    <definedName name="_nz347gkbav67" localSheetId="3">Feuil1!#REF!</definedName>
    <definedName name="_odb06e873shv" localSheetId="3">Feuil1!#REF!</definedName>
    <definedName name="_oy3w219kln5u" localSheetId="3">Feuil1!$A$33</definedName>
    <definedName name="_p8szso395pbb" localSheetId="3">Feuil1!$A$35</definedName>
    <definedName name="_p9wiu4shs9hc" localSheetId="3">Feuil1!#REF!</definedName>
    <definedName name="_pnbd6g5estm5" localSheetId="3">Feuil1!$A$28</definedName>
    <definedName name="_pspnwqqcx44q" localSheetId="3">Feuil1!#REF!</definedName>
    <definedName name="_ptslfom872qz" localSheetId="3">Feuil1!#REF!</definedName>
    <definedName name="_pzw7706yg5ao" localSheetId="3">Feuil1!#REF!</definedName>
    <definedName name="_q6wqacbarion" localSheetId="3">Feuil1!$A$25</definedName>
    <definedName name="_qf459c9a8pp1" localSheetId="3">Feuil1!#REF!</definedName>
    <definedName name="_qmhbzkb96b4" localSheetId="3">Feuil1!$A$27</definedName>
    <definedName name="_qxb3o5v8mgjr" localSheetId="3">Feuil1!#REF!</definedName>
    <definedName name="_r9nnew6d5z19" localSheetId="3">Feuil1!$A$36</definedName>
    <definedName name="_r9s9ghg1e3hf" localSheetId="3">Feuil1!#REF!</definedName>
    <definedName name="_rfltjsbl49ni" localSheetId="3">Feuil1!$A$10</definedName>
    <definedName name="_rz5po1gxlbgp" localSheetId="3">Feuil1!$A$13</definedName>
    <definedName name="_sicn53eiffia" localSheetId="3">Feuil1!#REF!</definedName>
    <definedName name="_tt764b9auzq8" localSheetId="3">Feuil1!$A$8</definedName>
    <definedName name="_u74njex1xmue" localSheetId="3">Feuil1!#REF!</definedName>
    <definedName name="_u87tnwpcwfm4" localSheetId="3">Feuil1!#REF!</definedName>
    <definedName name="_u9haniwxsi9j" localSheetId="3">Feuil1!#REF!</definedName>
    <definedName name="_uiga32hpnzj" localSheetId="3">Feuil1!$A$21</definedName>
    <definedName name="_uj38wuktblzm" localSheetId="3">Feuil1!$A$19</definedName>
    <definedName name="_utuurwq44qbd" localSheetId="3">Feuil1!#REF!</definedName>
    <definedName name="_v2a1uzdymhjv" localSheetId="3">Feuil1!#REF!</definedName>
    <definedName name="_vdgtxnft4z9o" localSheetId="3">Feuil1!#REF!</definedName>
    <definedName name="_vj8b6klcjtcc" localSheetId="3">Feuil1!#REF!</definedName>
    <definedName name="_vk618iff2ee1" localSheetId="3">Feuil1!#REF!</definedName>
    <definedName name="_vs7np853i52g" localSheetId="3">Feuil1!#REF!</definedName>
    <definedName name="_vyvwb23eh5z1" localSheetId="3">Feuil1!#REF!</definedName>
    <definedName name="_w3sb88kffkq" localSheetId="3">Feuil1!#REF!</definedName>
    <definedName name="_wpn81467iw0b" localSheetId="3">Feuil1!$A$7</definedName>
    <definedName name="_x6nck1a900y" localSheetId="3">Feuil1!#REF!</definedName>
    <definedName name="_xgrsy6hezdp9" localSheetId="3">Feuil1!#REF!</definedName>
    <definedName name="_xsb2v6shjdib" localSheetId="3">Feuil1!$A$9</definedName>
    <definedName name="_y4xt3quxwyvi" localSheetId="3">Feuil1!#REF!</definedName>
    <definedName name="_yj4hh6ff2wx9" localSheetId="3">Feuil1!#REF!</definedName>
    <definedName name="_yyxysi2ip7um" localSheetId="3">Feuil1!#REF!</definedName>
    <definedName name="_z8j2bmuhxmo6" localSheetId="3">Feuil1!$A$22</definedName>
    <definedName name="_zgwccvp1qzq2" localSheetId="3">Feuil1!$A$5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5" i="3" l="1"/>
  <c r="C35" i="3" s="1"/>
  <c r="D35" i="3" s="1" a="1"/>
  <c r="D35" i="3" s="1"/>
  <c r="B36" i="3"/>
  <c r="C36" i="3" s="1"/>
  <c r="D36" i="3" s="1" a="1"/>
  <c r="D36" i="3" s="1"/>
  <c r="B37" i="3"/>
  <c r="C37" i="3" s="1"/>
  <c r="D37" i="3" s="1" a="1"/>
  <c r="D37" i="3" s="1"/>
  <c r="B38" i="3"/>
  <c r="C38" i="3" s="1"/>
  <c r="D38" i="3" s="1" a="1"/>
  <c r="D38" i="3" s="1"/>
  <c r="B39" i="3"/>
  <c r="C39" i="3" s="1"/>
  <c r="D39" i="3" s="1" a="1"/>
  <c r="D39" i="3" s="1"/>
  <c r="B40" i="3"/>
  <c r="C40" i="3" s="1"/>
  <c r="D40" i="3" s="1" a="1"/>
  <c r="D40" i="3" s="1"/>
  <c r="B41" i="3"/>
  <c r="C41" i="3" s="1"/>
  <c r="D41" i="3" s="1" a="1"/>
  <c r="D41" i="3" s="1"/>
  <c r="B42" i="3"/>
  <c r="C42" i="3"/>
  <c r="D42" i="3" s="1" a="1"/>
  <c r="D42" i="3" s="1"/>
  <c r="B43" i="3"/>
  <c r="C43" i="3" s="1"/>
  <c r="D43" i="3" s="1" a="1"/>
  <c r="D43" i="3" s="1"/>
  <c r="B44" i="3"/>
  <c r="C44" i="3" s="1"/>
  <c r="D44" i="3" s="1" a="1"/>
  <c r="D44" i="3" s="1"/>
  <c r="B45" i="3"/>
  <c r="C45" i="3" s="1"/>
  <c r="D45" i="3" s="1" a="1"/>
  <c r="D45" i="3" s="1"/>
  <c r="B46" i="3"/>
  <c r="C46" i="3" s="1"/>
  <c r="D46" i="3" s="1" a="1"/>
  <c r="D46" i="3" s="1"/>
  <c r="B47" i="3"/>
  <c r="C47" i="3" s="1"/>
  <c r="D47" i="3" s="1" a="1"/>
  <c r="D47" i="3" s="1"/>
  <c r="B48" i="3"/>
  <c r="C48" i="3" s="1"/>
  <c r="D48" i="3" s="1" a="1"/>
  <c r="D48" i="3" s="1"/>
  <c r="B49" i="3"/>
  <c r="C49" i="3" s="1"/>
  <c r="D49" i="3" s="1" a="1"/>
  <c r="D49" i="3" s="1"/>
  <c r="B50" i="3"/>
  <c r="C50" i="3"/>
  <c r="D50" i="3" s="1" a="1"/>
  <c r="D50" i="3" s="1"/>
  <c r="B51" i="3"/>
  <c r="C51" i="3" s="1"/>
  <c r="D51" i="3" s="1" a="1"/>
  <c r="D51" i="3" s="1"/>
  <c r="B52" i="3"/>
  <c r="C52" i="3"/>
  <c r="D52" i="3" a="1"/>
  <c r="D52" i="3" s="1"/>
  <c r="B53" i="3"/>
  <c r="C53" i="3" s="1"/>
  <c r="D53" i="3" s="1" a="1"/>
  <c r="D53" i="3" s="1"/>
  <c r="B54" i="3"/>
  <c r="C54" i="3"/>
  <c r="D54" i="3" s="1" a="1"/>
  <c r="D54" i="3" s="1"/>
  <c r="B55" i="3"/>
  <c r="C55" i="3" s="1"/>
  <c r="D55" i="3" s="1" a="1"/>
  <c r="D55" i="3" s="1"/>
  <c r="B56" i="3"/>
  <c r="C56" i="3" s="1"/>
  <c r="D56" i="3" s="1" a="1"/>
  <c r="D56" i="3" s="1"/>
  <c r="B57" i="3"/>
  <c r="C57" i="3" s="1"/>
  <c r="D57" i="3" s="1" a="1"/>
  <c r="D57" i="3" s="1"/>
  <c r="B58" i="3"/>
  <c r="C58" i="3" s="1"/>
  <c r="D58" i="3" s="1" a="1"/>
  <c r="D58" i="3" s="1"/>
  <c r="B59" i="3"/>
  <c r="C59" i="3" s="1"/>
  <c r="D59" i="3" s="1" a="1"/>
  <c r="D59" i="3" s="1"/>
  <c r="B60" i="3"/>
  <c r="C60" i="3"/>
  <c r="D60" i="3" s="1" a="1"/>
  <c r="D60" i="3" s="1"/>
  <c r="B61" i="3"/>
  <c r="C61" i="3" s="1"/>
  <c r="D61" i="3" s="1" a="1"/>
  <c r="D61" i="3" s="1"/>
  <c r="B62" i="3"/>
  <c r="C62" i="3"/>
  <c r="D62" i="3" s="1" a="1"/>
  <c r="D62" i="3" s="1"/>
  <c r="B63" i="3"/>
  <c r="C63" i="3" s="1"/>
  <c r="D63" i="3" s="1" a="1"/>
  <c r="D63" i="3" s="1"/>
  <c r="B64" i="3"/>
  <c r="C64" i="3" s="1"/>
  <c r="D64" i="3" s="1" a="1"/>
  <c r="D64" i="3" s="1"/>
  <c r="B65" i="3"/>
  <c r="C65" i="3" s="1"/>
  <c r="D65" i="3" s="1" a="1"/>
  <c r="D65" i="3" s="1"/>
  <c r="B66" i="3"/>
  <c r="C66" i="3" s="1"/>
  <c r="D66" i="3" s="1" a="1"/>
  <c r="D66" i="3" s="1"/>
  <c r="B67" i="3"/>
  <c r="C67" i="3" s="1"/>
  <c r="D67" i="3" s="1" a="1"/>
  <c r="D67" i="3" s="1"/>
  <c r="B68" i="3"/>
  <c r="C68" i="3" s="1"/>
  <c r="D68" i="3" s="1" a="1"/>
  <c r="D68" i="3" s="1"/>
  <c r="B69" i="3"/>
  <c r="C69" i="3" s="1"/>
  <c r="D69" i="3" s="1" a="1"/>
  <c r="D69" i="3" s="1"/>
  <c r="B70" i="3"/>
  <c r="C70" i="3" s="1"/>
  <c r="D70" i="3" s="1" a="1"/>
  <c r="D70" i="3" s="1"/>
  <c r="B71" i="3"/>
  <c r="C71" i="3" s="1"/>
  <c r="D71" i="3" s="1" a="1"/>
  <c r="D71" i="3" s="1"/>
  <c r="B72" i="3"/>
  <c r="C72" i="3" s="1"/>
  <c r="D72" i="3" s="1" a="1"/>
  <c r="D72" i="3" s="1"/>
  <c r="B73" i="3"/>
  <c r="C73" i="3" s="1"/>
  <c r="D73" i="3" s="1" a="1"/>
  <c r="D73" i="3" s="1"/>
  <c r="B74" i="3"/>
  <c r="C74" i="3"/>
  <c r="D74" i="3" s="1" a="1"/>
  <c r="D74" i="3" s="1"/>
  <c r="B75" i="3"/>
  <c r="C75" i="3" s="1"/>
  <c r="D75" i="3" s="1" a="1"/>
  <c r="D75" i="3" s="1"/>
  <c r="B76" i="3"/>
  <c r="C76" i="3"/>
  <c r="D76" i="3" s="1" a="1"/>
  <c r="D76" i="3" s="1"/>
  <c r="B77" i="3"/>
  <c r="C77" i="3" s="1"/>
  <c r="D77" i="3" s="1" a="1"/>
  <c r="D77" i="3" s="1"/>
  <c r="B78" i="3"/>
  <c r="C78" i="3"/>
  <c r="D78" i="3" a="1"/>
  <c r="D78" i="3" s="1"/>
  <c r="B79" i="3"/>
  <c r="C79" i="3" s="1"/>
  <c r="D79" i="3" s="1" a="1"/>
  <c r="D79" i="3" s="1"/>
  <c r="B80" i="3"/>
  <c r="C80" i="3"/>
  <c r="D80" i="3" s="1" a="1"/>
  <c r="D80" i="3" s="1"/>
  <c r="B81" i="3"/>
  <c r="C81" i="3" s="1"/>
  <c r="D81" i="3" s="1" a="1"/>
  <c r="D81" i="3" s="1"/>
  <c r="B82" i="3"/>
  <c r="C82" i="3" s="1"/>
  <c r="D82" i="3" s="1" a="1"/>
  <c r="D82" i="3" s="1"/>
  <c r="B83" i="3"/>
  <c r="C83" i="3" s="1"/>
  <c r="D83" i="3" s="1" a="1"/>
  <c r="D83" i="3" s="1"/>
  <c r="B84" i="3"/>
  <c r="C84" i="3" s="1"/>
  <c r="D84" i="3" s="1" a="1"/>
  <c r="D84" i="3" s="1"/>
  <c r="B85" i="3"/>
  <c r="C85" i="3" s="1"/>
  <c r="D85" i="3" s="1" a="1"/>
  <c r="D85" i="3" s="1"/>
  <c r="B86" i="3"/>
  <c r="C86" i="3" s="1"/>
  <c r="D86" i="3" s="1" a="1"/>
  <c r="D86" i="3" s="1"/>
  <c r="B87" i="3"/>
  <c r="C87" i="3" s="1"/>
  <c r="D87" i="3" s="1" a="1"/>
  <c r="D87" i="3" s="1"/>
  <c r="B88" i="3"/>
  <c r="C88" i="3" s="1"/>
  <c r="D88" i="3" s="1" a="1"/>
  <c r="D88" i="3" s="1"/>
  <c r="B89" i="3"/>
  <c r="C89" i="3" s="1"/>
  <c r="D89" i="3" s="1" a="1"/>
  <c r="D89" i="3" s="1"/>
  <c r="B90" i="3"/>
  <c r="C90" i="3"/>
  <c r="D90" i="3" a="1"/>
  <c r="D90" i="3" s="1"/>
  <c r="B91" i="3"/>
  <c r="C91" i="3" s="1"/>
  <c r="D91" i="3" s="1" a="1"/>
  <c r="D91" i="3" s="1"/>
  <c r="B92" i="3"/>
  <c r="C92" i="3" s="1"/>
  <c r="D92" i="3" s="1" a="1"/>
  <c r="D92" i="3" s="1"/>
  <c r="B93" i="3"/>
  <c r="C93" i="3" s="1"/>
  <c r="D93" i="3" s="1" a="1"/>
  <c r="D93" i="3" s="1"/>
  <c r="B94" i="3"/>
  <c r="C94" i="3" s="1"/>
  <c r="D94" i="3" s="1" a="1"/>
  <c r="D94" i="3" s="1"/>
  <c r="B95" i="3"/>
  <c r="C95" i="3" s="1"/>
  <c r="D95" i="3" s="1" a="1"/>
  <c r="D95" i="3"/>
  <c r="B96" i="3"/>
  <c r="C96" i="3" s="1"/>
  <c r="D96" i="3" s="1" a="1"/>
  <c r="D96" i="3" s="1"/>
  <c r="B97" i="3"/>
  <c r="C97" i="3" s="1"/>
  <c r="D97" i="3" s="1" a="1"/>
  <c r="D97" i="3" s="1"/>
  <c r="B98" i="3"/>
  <c r="C98" i="3"/>
  <c r="D98" i="3" s="1" a="1"/>
  <c r="D98" i="3" s="1"/>
  <c r="B99" i="3"/>
  <c r="C99" i="3" s="1"/>
  <c r="D99" i="3" s="1" a="1"/>
  <c r="D99" i="3" s="1"/>
  <c r="B100" i="3"/>
  <c r="C100" i="3"/>
  <c r="D100" i="3" s="1" a="1"/>
  <c r="D100" i="3" s="1"/>
  <c r="B101" i="3"/>
  <c r="C101" i="3" s="1"/>
  <c r="D101" i="3" s="1" a="1"/>
  <c r="D101" i="3" s="1"/>
  <c r="B102" i="3"/>
  <c r="C102" i="3" s="1"/>
  <c r="D102" i="3" s="1" a="1"/>
  <c r="D102" i="3" s="1"/>
  <c r="B103" i="3"/>
  <c r="C103" i="3" s="1"/>
  <c r="D103" i="3" s="1" a="1"/>
  <c r="D103" i="3" s="1"/>
  <c r="B104" i="3"/>
  <c r="C104" i="3" s="1"/>
  <c r="D104" i="3" s="1" a="1"/>
  <c r="D104" i="3" s="1"/>
  <c r="B105" i="3"/>
  <c r="C105" i="3" s="1"/>
  <c r="D105" i="3" s="1" a="1"/>
  <c r="D105" i="3" s="1"/>
  <c r="B106" i="3"/>
  <c r="C106" i="3"/>
  <c r="D106" i="3" s="1" a="1"/>
  <c r="D106" i="3" s="1"/>
  <c r="B107" i="3"/>
  <c r="C107" i="3" s="1"/>
  <c r="D107" i="3" s="1" a="1"/>
  <c r="D107" i="3" s="1"/>
  <c r="B108" i="3"/>
  <c r="C108" i="3"/>
  <c r="D108" i="3" s="1" a="1"/>
  <c r="D108" i="3" s="1"/>
  <c r="B109" i="3"/>
  <c r="C109" i="3" s="1"/>
  <c r="D109" i="3" s="1" a="1"/>
  <c r="D109" i="3" s="1"/>
  <c r="B110" i="3"/>
  <c r="C110" i="3" s="1"/>
  <c r="D110" i="3" s="1" a="1"/>
  <c r="D110" i="3" s="1"/>
  <c r="B111" i="3"/>
  <c r="C111" i="3" s="1"/>
  <c r="D111" i="3" s="1" a="1"/>
  <c r="D111" i="3" s="1"/>
  <c r="B112" i="3"/>
  <c r="C112" i="3"/>
  <c r="D112" i="3" a="1"/>
  <c r="D112" i="3" s="1"/>
  <c r="B113" i="3"/>
  <c r="C113" i="3" s="1"/>
  <c r="D113" i="3" s="1" a="1"/>
  <c r="D113" i="3" s="1"/>
  <c r="B114" i="3"/>
  <c r="C114" i="3" s="1"/>
  <c r="D114" i="3" s="1" a="1"/>
  <c r="D114" i="3" s="1"/>
  <c r="B115" i="3"/>
  <c r="C115" i="3" s="1"/>
  <c r="D115" i="3" s="1" a="1"/>
  <c r="D115" i="3" s="1"/>
  <c r="B116" i="3"/>
  <c r="C116" i="3"/>
  <c r="D116" i="3" s="1" a="1"/>
  <c r="D116" i="3" s="1"/>
  <c r="B117" i="3"/>
  <c r="C117" i="3" s="1"/>
  <c r="D117" i="3" s="1" a="1"/>
  <c r="D117" i="3" s="1"/>
  <c r="B118" i="3"/>
  <c r="C118" i="3" s="1"/>
  <c r="D118" i="3" s="1" a="1"/>
  <c r="D118" i="3" s="1"/>
  <c r="B119" i="3"/>
  <c r="C119" i="3" s="1"/>
  <c r="D119" i="3" s="1" a="1"/>
  <c r="D119" i="3" s="1"/>
  <c r="B120" i="3"/>
  <c r="C120" i="3" s="1"/>
  <c r="D120" i="3" s="1" a="1"/>
  <c r="D120" i="3" s="1"/>
  <c r="B121" i="3"/>
  <c r="C121" i="3" s="1"/>
  <c r="D121" i="3" s="1" a="1"/>
  <c r="D121" i="3" s="1"/>
  <c r="B122" i="3"/>
  <c r="C122" i="3" s="1"/>
  <c r="D122" i="3" s="1" a="1"/>
  <c r="D122" i="3" s="1"/>
  <c r="B123" i="3"/>
  <c r="C123" i="3" s="1"/>
  <c r="D123" i="3" s="1" a="1"/>
  <c r="D123" i="3" s="1"/>
  <c r="B124" i="3"/>
  <c r="C124" i="3"/>
  <c r="D124" i="3" a="1"/>
  <c r="D124" i="3" s="1"/>
  <c r="B125" i="3"/>
  <c r="C125" i="3" s="1"/>
  <c r="D125" i="3" s="1" a="1"/>
  <c r="D125" i="3" s="1"/>
  <c r="B126" i="3"/>
  <c r="C126" i="3" s="1"/>
  <c r="D126" i="3" s="1" a="1"/>
  <c r="D126" i="3" s="1"/>
  <c r="B127" i="3"/>
  <c r="C127" i="3" s="1"/>
  <c r="D127" i="3" s="1" a="1"/>
  <c r="D127" i="3" s="1"/>
  <c r="B128" i="3"/>
  <c r="C128" i="3" s="1"/>
  <c r="D128" i="3" s="1" a="1"/>
  <c r="D128" i="3" s="1"/>
  <c r="B129" i="3"/>
  <c r="C129" i="3" s="1"/>
  <c r="D129" i="3" s="1" a="1"/>
  <c r="D129" i="3" s="1"/>
  <c r="B130" i="3"/>
  <c r="C130" i="3"/>
  <c r="D130" i="3" s="1" a="1"/>
  <c r="D130" i="3" s="1"/>
  <c r="B131" i="3"/>
  <c r="C131" i="3" s="1"/>
  <c r="D131" i="3" s="1" a="1"/>
  <c r="D131" i="3" s="1"/>
  <c r="B132" i="3"/>
  <c r="C132" i="3" s="1"/>
  <c r="D132" i="3" s="1" a="1"/>
  <c r="D132" i="3" s="1"/>
  <c r="B133" i="3"/>
  <c r="C133" i="3" s="1"/>
  <c r="D133" i="3" s="1" a="1"/>
  <c r="D133" i="3" s="1"/>
  <c r="B134" i="3"/>
  <c r="C134" i="3"/>
  <c r="D134" i="3" a="1"/>
  <c r="D134" i="3" s="1"/>
  <c r="B135" i="3"/>
  <c r="C135" i="3" s="1"/>
  <c r="D135" i="3" s="1" a="1"/>
  <c r="D135" i="3" s="1"/>
  <c r="B136" i="3"/>
  <c r="C136" i="3" s="1"/>
  <c r="D136" i="3" s="1" a="1"/>
  <c r="D136" i="3" s="1"/>
  <c r="B137" i="3"/>
  <c r="C137" i="3" s="1"/>
  <c r="D137" i="3" s="1" a="1"/>
  <c r="D137" i="3" s="1"/>
  <c r="B138" i="3"/>
  <c r="C138" i="3" s="1"/>
  <c r="D138" i="3" s="1" a="1"/>
  <c r="D138" i="3" s="1"/>
  <c r="B139" i="3"/>
  <c r="C139" i="3" s="1"/>
  <c r="D139" i="3" s="1" a="1"/>
  <c r="D139" i="3" s="1"/>
  <c r="B140" i="3"/>
  <c r="C140" i="3"/>
  <c r="D140" i="3" s="1" a="1"/>
  <c r="D140" i="3" s="1"/>
  <c r="B141" i="3"/>
  <c r="C141" i="3" s="1"/>
  <c r="D141" i="3" s="1" a="1"/>
  <c r="D141" i="3" s="1"/>
  <c r="B142" i="3"/>
  <c r="C142" i="3"/>
  <c r="D142" i="3" a="1"/>
  <c r="D142" i="3" s="1"/>
  <c r="B143" i="3"/>
  <c r="C143" i="3" s="1"/>
  <c r="D143" i="3" s="1" a="1"/>
  <c r="D143" i="3" s="1"/>
  <c r="B144" i="3"/>
  <c r="C144" i="3" s="1"/>
  <c r="D144" i="3" s="1" a="1"/>
  <c r="D144" i="3" s="1"/>
  <c r="B145" i="3"/>
  <c r="C145" i="3" s="1"/>
  <c r="D145" i="3" s="1" a="1"/>
  <c r="D145" i="3" s="1"/>
  <c r="B146" i="3"/>
  <c r="C146" i="3" s="1"/>
  <c r="D146" i="3" s="1" a="1"/>
  <c r="D146" i="3" s="1"/>
  <c r="B147" i="3"/>
  <c r="C147" i="3" s="1"/>
  <c r="D147" i="3" s="1" a="1"/>
  <c r="D147" i="3" s="1"/>
  <c r="B148" i="3"/>
  <c r="C148" i="3"/>
  <c r="D148" i="3" s="1" a="1"/>
  <c r="D148" i="3" s="1"/>
  <c r="B149" i="3"/>
  <c r="C149" i="3" s="1"/>
  <c r="D149" i="3" s="1" a="1"/>
  <c r="D149" i="3" s="1"/>
  <c r="B150" i="3"/>
  <c r="C150" i="3"/>
  <c r="D150" i="3" s="1" a="1"/>
  <c r="D150" i="3" s="1"/>
  <c r="B151" i="3"/>
  <c r="C151" i="3" s="1"/>
  <c r="D151" i="3" s="1" a="1"/>
  <c r="D151" i="3"/>
  <c r="B152" i="3"/>
  <c r="C152" i="3" s="1"/>
  <c r="D152" i="3" s="1" a="1"/>
  <c r="D152" i="3" s="1"/>
  <c r="B153" i="3"/>
  <c r="C153" i="3" s="1"/>
  <c r="D153" i="3" s="1" a="1"/>
  <c r="D153" i="3" s="1"/>
  <c r="B154" i="3"/>
  <c r="C154" i="3" s="1"/>
  <c r="D154" i="3" s="1" a="1"/>
  <c r="D154" i="3" s="1"/>
  <c r="B155" i="3"/>
  <c r="C155" i="3" s="1"/>
  <c r="D155" i="3" s="1" a="1"/>
  <c r="D155" i="3" s="1"/>
  <c r="B156" i="3"/>
  <c r="C156" i="3" s="1"/>
  <c r="D156" i="3" s="1" a="1"/>
  <c r="D156" i="3" s="1"/>
  <c r="B157" i="3"/>
  <c r="C157" i="3" s="1"/>
  <c r="D157" i="3" s="1" a="1"/>
  <c r="D157" i="3" s="1"/>
  <c r="B158" i="3"/>
  <c r="C158" i="3" s="1"/>
  <c r="D158" i="3" s="1" a="1"/>
  <c r="D158" i="3" s="1"/>
  <c r="B159" i="3"/>
  <c r="C159" i="3" s="1"/>
  <c r="D159" i="3" s="1" a="1"/>
  <c r="D159" i="3" s="1"/>
  <c r="B160" i="3"/>
  <c r="C160" i="3"/>
  <c r="D160" i="3" s="1" a="1"/>
  <c r="D160" i="3" s="1"/>
  <c r="B161" i="3"/>
  <c r="C161" i="3" s="1"/>
  <c r="D161" i="3" s="1" a="1"/>
  <c r="D161" i="3" s="1"/>
  <c r="B162" i="3"/>
  <c r="C162" i="3" s="1"/>
  <c r="D162" i="3" s="1" a="1"/>
  <c r="D162" i="3" s="1"/>
  <c r="B163" i="3"/>
  <c r="C163" i="3" s="1"/>
  <c r="D163" i="3" s="1" a="1"/>
  <c r="D163" i="3"/>
  <c r="B164" i="3"/>
  <c r="C164" i="3" s="1"/>
  <c r="D164" i="3" s="1" a="1"/>
  <c r="D164" i="3" s="1"/>
  <c r="B165" i="3"/>
  <c r="C165" i="3" s="1"/>
  <c r="D165" i="3" s="1" a="1"/>
  <c r="D165" i="3" s="1"/>
  <c r="B166" i="3"/>
  <c r="C166" i="3" s="1"/>
  <c r="D166" i="3" s="1" a="1"/>
  <c r="D166" i="3" s="1"/>
  <c r="B167" i="3"/>
  <c r="C167" i="3" s="1"/>
  <c r="D167" i="3" s="1" a="1"/>
  <c r="D167" i="3"/>
  <c r="B168" i="3"/>
  <c r="C168" i="3" s="1"/>
  <c r="D168" i="3" s="1" a="1"/>
  <c r="D168" i="3" s="1"/>
  <c r="B169" i="3"/>
  <c r="C169" i="3" s="1"/>
  <c r="D169" i="3" s="1" a="1"/>
  <c r="D169" i="3" s="1"/>
  <c r="B170" i="3"/>
  <c r="C170" i="3"/>
  <c r="D170" i="3" s="1" a="1"/>
  <c r="D170" i="3" s="1"/>
  <c r="B171" i="3"/>
  <c r="C171" i="3" s="1"/>
  <c r="D171" i="3" s="1" a="1"/>
  <c r="D171" i="3" s="1"/>
  <c r="B172" i="3"/>
  <c r="C172" i="3" s="1"/>
  <c r="D172" i="3" s="1" a="1"/>
  <c r="D172" i="3" s="1"/>
  <c r="B173" i="3"/>
  <c r="C173" i="3" s="1"/>
  <c r="D173" i="3" s="1" a="1"/>
  <c r="D173" i="3" s="1"/>
  <c r="B174" i="3"/>
  <c r="C174" i="3"/>
  <c r="D174" i="3" a="1"/>
  <c r="D174" i="3" s="1"/>
  <c r="B175" i="3"/>
  <c r="C175" i="3" s="1"/>
  <c r="D175" i="3" s="1" a="1"/>
  <c r="D175" i="3" s="1"/>
  <c r="B176" i="3"/>
  <c r="C176" i="3"/>
  <c r="D176" i="3" a="1"/>
  <c r="D176" i="3" s="1"/>
  <c r="B177" i="3"/>
  <c r="C177" i="3" s="1"/>
  <c r="D177" i="3" s="1" a="1"/>
  <c r="D177" i="3" s="1"/>
  <c r="B178" i="3"/>
  <c r="C178" i="3"/>
  <c r="D178" i="3" s="1" a="1"/>
  <c r="D178" i="3" s="1"/>
  <c r="B179" i="3"/>
  <c r="C179" i="3" s="1"/>
  <c r="D179" i="3" s="1" a="1"/>
  <c r="D179" i="3" s="1"/>
  <c r="B180" i="3"/>
  <c r="C180" i="3" s="1"/>
  <c r="D180" i="3" s="1" a="1"/>
  <c r="D180" i="3" s="1"/>
  <c r="B181" i="3"/>
  <c r="C181" i="3" s="1"/>
  <c r="D181" i="3" s="1" a="1"/>
  <c r="D181" i="3" s="1"/>
  <c r="B182" i="3"/>
  <c r="C182" i="3"/>
  <c r="D182" i="3" a="1"/>
  <c r="D182" i="3" s="1"/>
  <c r="B183" i="3"/>
  <c r="C183" i="3" s="1"/>
  <c r="D183" i="3" s="1" a="1"/>
  <c r="D183" i="3" s="1"/>
  <c r="B184" i="3"/>
  <c r="C184" i="3" s="1"/>
  <c r="D184" i="3" s="1" a="1"/>
  <c r="D184" i="3" s="1"/>
  <c r="B185" i="3"/>
  <c r="C185" i="3" s="1"/>
  <c r="D185" i="3" s="1" a="1"/>
  <c r="D185" i="3" s="1"/>
  <c r="B186" i="3"/>
  <c r="C186" i="3"/>
  <c r="D186" i="3" a="1"/>
  <c r="D186" i="3" s="1"/>
  <c r="B187" i="3"/>
  <c r="C187" i="3" s="1"/>
  <c r="D187" i="3" s="1" a="1"/>
  <c r="D187" i="3"/>
  <c r="B188" i="3"/>
  <c r="C188" i="3" s="1"/>
  <c r="D188" i="3" s="1" a="1"/>
  <c r="D188" i="3" s="1"/>
  <c r="B189" i="3"/>
  <c r="C189" i="3" s="1"/>
  <c r="D189" i="3" s="1" a="1"/>
  <c r="D189" i="3" s="1"/>
  <c r="B190" i="3"/>
  <c r="C190" i="3" s="1"/>
  <c r="D190" i="3" s="1" a="1"/>
  <c r="D190" i="3" s="1"/>
  <c r="B191" i="3"/>
  <c r="C191" i="3" s="1"/>
  <c r="D191" i="3" s="1" a="1"/>
  <c r="D191" i="3" s="1"/>
  <c r="B192" i="3"/>
  <c r="C192" i="3" s="1"/>
  <c r="D192" i="3" s="1" a="1"/>
  <c r="D192" i="3" s="1"/>
  <c r="B193" i="3"/>
  <c r="C193" i="3" s="1"/>
  <c r="D193" i="3" s="1" a="1"/>
  <c r="D193" i="3" s="1"/>
  <c r="B194" i="3"/>
  <c r="C194" i="3"/>
  <c r="D194" i="3" a="1"/>
  <c r="D194" i="3" s="1"/>
  <c r="B195" i="3"/>
  <c r="C195" i="3" s="1"/>
  <c r="D195" i="3" s="1" a="1"/>
  <c r="D195" i="3"/>
  <c r="B196" i="3"/>
  <c r="C196" i="3" s="1"/>
  <c r="D196" i="3" s="1" a="1"/>
  <c r="D196" i="3" s="1"/>
  <c r="B197" i="3"/>
  <c r="C197" i="3" s="1"/>
  <c r="D197" i="3" s="1" a="1"/>
  <c r="D197" i="3" s="1"/>
  <c r="B198" i="3"/>
  <c r="C198" i="3"/>
  <c r="D198" i="3" s="1" a="1"/>
  <c r="D198" i="3" s="1"/>
  <c r="B199" i="3"/>
  <c r="C199" i="3" s="1"/>
  <c r="D199" i="3" s="1" a="1"/>
  <c r="D199" i="3" s="1"/>
  <c r="B200" i="3"/>
  <c r="C200" i="3"/>
  <c r="D200" i="3" s="1" a="1"/>
  <c r="D200" i="3" s="1"/>
  <c r="B201" i="3"/>
  <c r="C201" i="3" s="1"/>
  <c r="D201" i="3" s="1" a="1"/>
  <c r="D201" i="3" s="1"/>
  <c r="B202" i="3"/>
  <c r="C202" i="3" s="1"/>
  <c r="D202" i="3" s="1" a="1"/>
  <c r="D202" i="3" s="1"/>
  <c r="B203" i="3"/>
  <c r="C203" i="3" s="1"/>
  <c r="D203" i="3" s="1" a="1"/>
  <c r="D203" i="3" s="1"/>
  <c r="B204" i="3"/>
  <c r="C204" i="3" s="1"/>
  <c r="D204" i="3" s="1" a="1"/>
  <c r="D204" i="3" s="1"/>
  <c r="B205" i="3"/>
  <c r="C205" i="3" s="1"/>
  <c r="D205" i="3" s="1" a="1"/>
  <c r="D205" i="3" s="1"/>
  <c r="B206" i="3"/>
  <c r="C206" i="3" s="1"/>
  <c r="D206" i="3" s="1" a="1"/>
  <c r="D206" i="3" s="1"/>
  <c r="B207" i="3"/>
  <c r="C207" i="3"/>
  <c r="D207" i="3" s="1" a="1"/>
  <c r="D207" i="3" s="1"/>
  <c r="B208" i="3"/>
  <c r="C208" i="3" s="1"/>
  <c r="D208" i="3" s="1" a="1"/>
  <c r="D208" i="3" s="1"/>
  <c r="B209" i="3"/>
  <c r="C209" i="3"/>
  <c r="D209" i="3" s="1" a="1"/>
  <c r="D209" i="3" s="1"/>
  <c r="B210" i="3"/>
  <c r="C210" i="3" s="1"/>
  <c r="D210" i="3" s="1" a="1"/>
  <c r="D210" i="3" s="1"/>
  <c r="B211" i="3"/>
  <c r="C211" i="3" s="1"/>
  <c r="D211" i="3" s="1" a="1"/>
  <c r="D211" i="3" s="1"/>
  <c r="B212" i="3"/>
  <c r="C212" i="3" s="1"/>
  <c r="D212" i="3" s="1" a="1"/>
  <c r="D212" i="3" s="1"/>
  <c r="B213" i="3"/>
  <c r="C213" i="3"/>
  <c r="D213" i="3" s="1" a="1"/>
  <c r="D213" i="3" s="1"/>
  <c r="B214" i="3"/>
  <c r="C214" i="3" s="1"/>
  <c r="D214" i="3" s="1" a="1"/>
  <c r="D214" i="3" s="1"/>
  <c r="B215" i="3"/>
  <c r="C215" i="3" s="1"/>
  <c r="D215" i="3" s="1" a="1"/>
  <c r="D215" i="3" s="1"/>
  <c r="B216" i="3"/>
  <c r="C216" i="3" s="1"/>
  <c r="D216" i="3" s="1" a="1"/>
  <c r="D216" i="3" s="1"/>
  <c r="B217" i="3"/>
  <c r="C217" i="3" s="1"/>
  <c r="D217" i="3" s="1" a="1"/>
  <c r="D217" i="3" s="1"/>
  <c r="B218" i="3"/>
  <c r="C218" i="3" s="1"/>
  <c r="D218" i="3" s="1" a="1"/>
  <c r="D218" i="3" s="1"/>
  <c r="B219" i="3"/>
  <c r="C219" i="3" s="1"/>
  <c r="D219" i="3" s="1" a="1"/>
  <c r="D219" i="3" s="1"/>
  <c r="B220" i="3"/>
  <c r="C220" i="3" s="1"/>
  <c r="D220" i="3" s="1" a="1"/>
  <c r="D220" i="3" s="1"/>
  <c r="B221" i="3"/>
  <c r="C221" i="3" s="1"/>
  <c r="D221" i="3" s="1" a="1"/>
  <c r="D221" i="3" s="1"/>
  <c r="B222" i="3"/>
  <c r="C222" i="3" s="1"/>
  <c r="D222" i="3" s="1" a="1"/>
  <c r="D222" i="3" s="1"/>
  <c r="B223" i="3"/>
  <c r="C223" i="3" s="1"/>
  <c r="D223" i="3" s="1" a="1"/>
  <c r="D223" i="3" s="1"/>
  <c r="B224" i="3"/>
  <c r="C224" i="3" s="1"/>
  <c r="D224" i="3" s="1" a="1"/>
  <c r="D224" i="3" s="1"/>
  <c r="B225" i="3"/>
  <c r="C225" i="3" s="1"/>
  <c r="D225" i="3" s="1" a="1"/>
  <c r="D225" i="3" s="1"/>
  <c r="B3" i="3"/>
  <c r="C3" i="3" s="1"/>
  <c r="B4" i="3"/>
  <c r="C4" i="3" s="1"/>
  <c r="B5" i="3"/>
  <c r="C5" i="3" s="1"/>
  <c r="B6" i="3"/>
  <c r="B7" i="3"/>
  <c r="C7" i="3" s="1"/>
  <c r="B8" i="3"/>
  <c r="C8" i="3" s="1"/>
  <c r="B9" i="3"/>
  <c r="C9" i="3" s="1"/>
  <c r="B10" i="3"/>
  <c r="C10" i="3" s="1"/>
  <c r="D10" i="3" s="1" a="1"/>
  <c r="D10" i="3" s="1"/>
  <c r="B11" i="3"/>
  <c r="C11" i="3" s="1"/>
  <c r="B12" i="3"/>
  <c r="C12" i="3" s="1"/>
  <c r="B13" i="3"/>
  <c r="C13" i="3" s="1"/>
  <c r="B14" i="3"/>
  <c r="C14" i="3" s="1"/>
  <c r="D14" i="3" s="1" a="1"/>
  <c r="D14" i="3" s="1"/>
  <c r="B15" i="3"/>
  <c r="C15" i="3" s="1"/>
  <c r="B16" i="3"/>
  <c r="C16" i="3" s="1"/>
  <c r="B17" i="3"/>
  <c r="C17" i="3" s="1"/>
  <c r="B18" i="3"/>
  <c r="C18" i="3" s="1"/>
  <c r="D18" i="3" s="1" a="1"/>
  <c r="D18" i="3" s="1"/>
  <c r="B19" i="3"/>
  <c r="C19" i="3" s="1"/>
  <c r="B20" i="3"/>
  <c r="C20" i="3" s="1"/>
  <c r="B21" i="3"/>
  <c r="C21" i="3" s="1"/>
  <c r="B22" i="3"/>
  <c r="C22" i="3" s="1"/>
  <c r="D22" i="3" s="1" a="1"/>
  <c r="D22" i="3" s="1"/>
  <c r="B23" i="3"/>
  <c r="B24" i="3"/>
  <c r="B25" i="3"/>
  <c r="C25" i="3" s="1"/>
  <c r="B26" i="3"/>
  <c r="C26" i="3" s="1"/>
  <c r="D26" i="3" s="1" a="1"/>
  <c r="D26" i="3" s="1"/>
  <c r="B27" i="3"/>
  <c r="B28" i="3"/>
  <c r="C28" i="3" s="1"/>
  <c r="B29" i="3"/>
  <c r="C29" i="3" s="1"/>
  <c r="B30" i="3"/>
  <c r="C30" i="3" s="1"/>
  <c r="D30" i="3" s="1" a="1"/>
  <c r="D30" i="3" s="1"/>
  <c r="B31" i="3"/>
  <c r="C31" i="3" s="1"/>
  <c r="B32" i="3"/>
  <c r="C32" i="3" s="1"/>
  <c r="B33" i="3"/>
  <c r="C33" i="3" s="1"/>
  <c r="B34" i="3"/>
  <c r="C34" i="3" s="1"/>
  <c r="D34" i="3" s="1" a="1"/>
  <c r="D34" i="3" s="1"/>
  <c r="B2" i="3"/>
  <c r="C2" i="3" s="1"/>
  <c r="D2" i="3" s="1" a="1"/>
  <c r="D2" i="3" s="1"/>
  <c r="B1" i="3"/>
  <c r="C1" i="3" s="1"/>
  <c r="D1" i="3" s="1" a="1"/>
  <c r="D1" i="3" s="1"/>
  <c r="E3" i="2"/>
  <c r="E4" i="2"/>
  <c r="E5" i="2"/>
  <c r="E6" i="2"/>
  <c r="E7" i="2"/>
  <c r="E8" i="2"/>
  <c r="E9" i="2"/>
  <c r="E10" i="2"/>
  <c r="E11" i="2"/>
  <c r="E12" i="2"/>
  <c r="E13" i="2"/>
  <c r="E2" i="2"/>
  <c r="D3" i="2"/>
  <c r="C3" i="2" s="1"/>
  <c r="D4" i="2"/>
  <c r="C4" i="2" s="1"/>
  <c r="D5" i="2"/>
  <c r="C5" i="2" s="1"/>
  <c r="D6" i="2"/>
  <c r="C6" i="2" s="1"/>
  <c r="D7" i="2"/>
  <c r="C7" i="2" s="1"/>
  <c r="D8" i="2"/>
  <c r="C8" i="2" s="1"/>
  <c r="D9" i="2"/>
  <c r="C9" i="2" s="1"/>
  <c r="D10" i="2"/>
  <c r="C10" i="2" s="1"/>
  <c r="D11" i="2"/>
  <c r="C11" i="2" s="1"/>
  <c r="D12" i="2"/>
  <c r="C12" i="2" s="1"/>
  <c r="D13" i="2"/>
  <c r="C13" i="2" s="1"/>
  <c r="D14" i="2"/>
  <c r="D15" i="2"/>
  <c r="D2" i="2"/>
  <c r="C2" i="2" s="1"/>
  <c r="D13" i="3" l="1" a="1"/>
  <c r="D13" i="3" s="1"/>
  <c r="D11" i="3" a="1"/>
  <c r="D11" i="3" s="1"/>
  <c r="D9" i="3" a="1"/>
  <c r="D9" i="3" s="1"/>
  <c r="C27" i="3"/>
  <c r="D27" i="3" s="1" a="1"/>
  <c r="D27" i="3" s="1"/>
  <c r="C24" i="3"/>
  <c r="D24" i="3" s="1" a="1"/>
  <c r="D24" i="3" s="1"/>
  <c r="C23" i="3"/>
  <c r="D23" i="3" s="1" a="1"/>
  <c r="D23" i="3" s="1"/>
  <c r="D25" i="3" a="1"/>
  <c r="D25" i="3" s="1"/>
  <c r="C6" i="3"/>
  <c r="D6" i="3" s="1" a="1"/>
  <c r="D6" i="3" s="1"/>
  <c r="D12" i="3" a="1"/>
  <c r="D12" i="3" s="1"/>
  <c r="D29" i="3" a="1"/>
  <c r="D29" i="3" s="1"/>
  <c r="D28" i="3" a="1"/>
  <c r="D28" i="3" s="1"/>
  <c r="D15" i="3" a="1"/>
  <c r="D15" i="3" s="1"/>
  <c r="D21" i="3" a="1"/>
  <c r="D21" i="3" s="1"/>
  <c r="D8" i="3" a="1"/>
  <c r="D8" i="3" s="1"/>
  <c r="D33" i="3" a="1"/>
  <c r="D33" i="3" s="1"/>
  <c r="D20" i="3" a="1"/>
  <c r="D20" i="3" s="1"/>
  <c r="D7" i="3" a="1"/>
  <c r="D7" i="3" s="1"/>
  <c r="D32" i="3" a="1"/>
  <c r="D32" i="3" s="1"/>
  <c r="D19" i="3" a="1"/>
  <c r="D19" i="3" s="1"/>
  <c r="D31" i="3" a="1"/>
  <c r="D31" i="3" s="1"/>
  <c r="D5" i="3" a="1"/>
  <c r="D5" i="3" s="1"/>
  <c r="D4" i="3" a="1"/>
  <c r="D4" i="3" s="1"/>
  <c r="D17" i="3" a="1"/>
  <c r="D17" i="3" s="1"/>
  <c r="D3" i="3" a="1"/>
  <c r="D3" i="3" s="1"/>
  <c r="D16" i="3" a="1"/>
  <c r="D16"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<sst xmlns="http://schemas.openxmlformats.org/spreadsheetml/2006/main" count="1673" uniqueCount="1156">
  <si>
    <t>UV</t>
  </si>
  <si>
    <t>Numéro Question</t>
  </si>
  <si>
    <t>Intitulé de la Question</t>
  </si>
  <si>
    <t>Proposition A</t>
  </si>
  <si>
    <t>Proposition B</t>
  </si>
  <si>
    <t>Proposition C</t>
  </si>
  <si>
    <t>Proposition D</t>
  </si>
  <si>
    <t>Proposition E</t>
  </si>
  <si>
    <t>Proposition F</t>
  </si>
  <si>
    <t>1</t>
  </si>
  <si>
    <t>D</t>
  </si>
  <si>
    <t>2</t>
  </si>
  <si>
    <t>A</t>
  </si>
  <si>
    <t>3</t>
  </si>
  <si>
    <t>4</t>
  </si>
  <si>
    <t>5</t>
  </si>
  <si>
    <t>C</t>
  </si>
  <si>
    <t>6</t>
  </si>
  <si>
    <t>7</t>
  </si>
  <si>
    <t>B</t>
  </si>
  <si>
    <t>8</t>
  </si>
  <si>
    <t>E</t>
  </si>
  <si>
    <t>9</t>
  </si>
  <si>
    <t>10</t>
  </si>
  <si>
    <t>11</t>
  </si>
  <si>
    <t>12</t>
  </si>
  <si>
    <t>13</t>
  </si>
  <si>
    <t>14</t>
  </si>
  <si>
    <t>Description</t>
  </si>
  <si>
    <t>Aucune des réponses précédentes</t>
  </si>
  <si>
    <t>Établissement Recevant du Public</t>
  </si>
  <si>
    <t>Immeuble de Grande Hauteur</t>
  </si>
  <si>
    <t>D.A.S.</t>
  </si>
  <si>
    <t>C.M.S.I.</t>
  </si>
  <si>
    <t>S.M.S.I.</t>
  </si>
  <si>
    <t>S.D.I.</t>
  </si>
  <si>
    <t>VRAC (1)</t>
  </si>
  <si>
    <t>VRAC (2)</t>
  </si>
  <si>
    <t>Nb_Questions</t>
  </si>
  <si>
    <t>UV03</t>
  </si>
  <si>
    <t>UV08</t>
  </si>
  <si>
    <t>UV06</t>
  </si>
  <si>
    <t>UV07</t>
  </si>
  <si>
    <t>Titre</t>
  </si>
  <si>
    <t>UV en vrac (20 questions)</t>
  </si>
  <si>
    <t>mot</t>
  </si>
  <si>
    <t>definition</t>
  </si>
  <si>
    <t>A.F.F.F.</t>
  </si>
  <si>
    <t>Agents Formant un Film Flottant</t>
  </si>
  <si>
    <t>A.E.S.</t>
  </si>
  <si>
    <t>Alimentation Électrique de Sécurité</t>
  </si>
  <si>
    <t>A.G.S.</t>
  </si>
  <si>
    <t>Alarme Générale Sélective</t>
  </si>
  <si>
    <t>A.P.S.</t>
  </si>
  <si>
    <t>Alimentation Pneumatique de Sécurité</t>
  </si>
  <si>
    <t>A.U.</t>
  </si>
  <si>
    <t>Arrêt d'Urgence</t>
  </si>
  <si>
    <t>B.A.A.S.</t>
  </si>
  <si>
    <t>Bloc Autonome d'Alarme Sonore</t>
  </si>
  <si>
    <t>B.A.A.S. Ma</t>
  </si>
  <si>
    <t>Bloc Autonome d'Alarme Sonore Manuel</t>
  </si>
  <si>
    <t>B.A.A.S. Pr</t>
  </si>
  <si>
    <t>Bloc Autonome d'Alarme Sonore Principal</t>
  </si>
  <si>
    <t>B.A.A.S. Sa</t>
  </si>
  <si>
    <t>Bloc Autonome d'Alarme Sonore Satellite</t>
  </si>
  <si>
    <t>B.A.E.S.</t>
  </si>
  <si>
    <t>Bloc Autonome d'Éclairage de Sécurité</t>
  </si>
  <si>
    <t>B.A.P.I.</t>
  </si>
  <si>
    <t>Bloc Autonome Portable d'Intervention</t>
  </si>
  <si>
    <t>B.E.S.</t>
  </si>
  <si>
    <t>Bloc d'Éclairage de Sécurité</t>
  </si>
  <si>
    <t>B.B.G.</t>
  </si>
  <si>
    <t>Boitier Bris de Glace</t>
  </si>
  <si>
    <t>B.I.</t>
  </si>
  <si>
    <t>Bouche Incendie</t>
  </si>
  <si>
    <t>C.C.F.</t>
  </si>
  <si>
    <t>Clapet Coupe Feu</t>
  </si>
  <si>
    <t>C.C.H.</t>
  </si>
  <si>
    <t>Code de la Construction et de l'Habitation</t>
  </si>
  <si>
    <t>C.F.</t>
  </si>
  <si>
    <t>Coupe Feu</t>
  </si>
  <si>
    <t>C.H.</t>
  </si>
  <si>
    <t>Colonne Humide</t>
  </si>
  <si>
    <t>C.H.C.</t>
  </si>
  <si>
    <t>Colonne Horizontale Commune</t>
  </si>
  <si>
    <t>C.H.P.</t>
  </si>
  <si>
    <t>Colonne Horizontale Privative</t>
  </si>
  <si>
    <t>Centraliseur de Mise en Sécurité Incendie</t>
  </si>
  <si>
    <t>C.S.</t>
  </si>
  <si>
    <t>Colonne Sèche</t>
  </si>
  <si>
    <t>C.T.</t>
  </si>
  <si>
    <t>Code deu Travail</t>
  </si>
  <si>
    <t>D.A.C.</t>
  </si>
  <si>
    <t>Dispositif Adaptateur de Commande</t>
  </si>
  <si>
    <t>D.A.D.</t>
  </si>
  <si>
    <t>Détecteur Autonome Déclencheur</t>
  </si>
  <si>
    <t>D.A.E.</t>
  </si>
  <si>
    <t>Défibrillateur Automatique Externe</t>
  </si>
  <si>
    <t>D.A.I.</t>
  </si>
  <si>
    <t>Détecteur Autonome Incendie</t>
  </si>
  <si>
    <t>Dispositif Actionné de Sécurité</t>
  </si>
  <si>
    <t>D.C.M.</t>
  </si>
  <si>
    <t>Dispositif de Commande Manuelle</t>
  </si>
  <si>
    <t>D.C.M.R.</t>
  </si>
  <si>
    <t>Dispositif de Commandes Manuelles Regroupées</t>
  </si>
  <si>
    <t>D.C.S.</t>
  </si>
  <si>
    <t>Dispositif de Commande et de Signalisation</t>
  </si>
  <si>
    <t>D.C.T.</t>
  </si>
  <si>
    <t>Dispositif Commandé Terminal</t>
  </si>
  <si>
    <t>D.E.A.</t>
  </si>
  <si>
    <t>Défibrillateur Entièrement Automatique</t>
  </si>
  <si>
    <t>D.I.</t>
  </si>
  <si>
    <t>Détecteur Incendie</t>
  </si>
  <si>
    <t>D.L.</t>
  </si>
  <si>
    <t>Diffuseur Lumineux</t>
  </si>
  <si>
    <t>D.M.</t>
  </si>
  <si>
    <t>Déclencheur Manuel</t>
  </si>
  <si>
    <t>D.S.</t>
  </si>
  <si>
    <t>Diffuseur Sonore</t>
  </si>
  <si>
    <t>D.S.A.</t>
  </si>
  <si>
    <t>Défibrillateur Semi-Automatique</t>
  </si>
  <si>
    <t>D.S.N.A.</t>
  </si>
  <si>
    <t>Diffuseur Sonore Non Autonome</t>
  </si>
  <si>
    <t>E.A.</t>
  </si>
  <si>
    <t>Équipement d'Alarme</t>
  </si>
  <si>
    <t>E.C.S.</t>
  </si>
  <si>
    <t>Équipement de Contrôle et de Signalisation</t>
  </si>
  <si>
    <t>E.R.P.</t>
  </si>
  <si>
    <t>G.E.S.</t>
  </si>
  <si>
    <t>Groupe Électrogène de Sécurité</t>
  </si>
  <si>
    <t>G.T.B.</t>
  </si>
  <si>
    <t>Gestion Technique de Bâtiment</t>
  </si>
  <si>
    <t>G.T.C.</t>
  </si>
  <si>
    <t>Gestion Technique Centralisée</t>
  </si>
  <si>
    <t>I.A.</t>
  </si>
  <si>
    <t>Indicateur d'Action</t>
  </si>
  <si>
    <t>I.F.E.A.</t>
  </si>
  <si>
    <t>Installation Fixe d'Extinction Automatique</t>
  </si>
  <si>
    <t>I.G.H.</t>
  </si>
  <si>
    <t>I.T.G.H.</t>
  </si>
  <si>
    <t>Immeuble de Très Grande Hauteur</t>
  </si>
  <si>
    <t>L.R.C.</t>
  </si>
  <si>
    <t>Locaux à Risques Courants</t>
  </si>
  <si>
    <t>L.R.I.</t>
  </si>
  <si>
    <t>Locaux à Risques Importants</t>
  </si>
  <si>
    <t>L.R.M.</t>
  </si>
  <si>
    <t>Locaux à Risques Moyens</t>
  </si>
  <si>
    <t>L.R.P.</t>
  </si>
  <si>
    <t>Locaux à Risques Particuliers</t>
  </si>
  <si>
    <t>M.D.</t>
  </si>
  <si>
    <t>Matériel Déporté</t>
  </si>
  <si>
    <t>N.S.A.</t>
  </si>
  <si>
    <t>Non Stop Ascenseur</t>
  </si>
  <si>
    <t>N.E.</t>
  </si>
  <si>
    <t>Norme Européenne</t>
  </si>
  <si>
    <t>N.F.</t>
  </si>
  <si>
    <t>Norme Française</t>
  </si>
  <si>
    <t>P.A.</t>
  </si>
  <si>
    <t>Position d'Attente</t>
  </si>
  <si>
    <t>P.C.</t>
  </si>
  <si>
    <t>Poste Central</t>
  </si>
  <si>
    <t>P.C.F.</t>
  </si>
  <si>
    <t>Porte Coupe Feu</t>
  </si>
  <si>
    <t>P.C.S.</t>
  </si>
  <si>
    <t>Poste Central de Sécurité</t>
  </si>
  <si>
    <t>P.F.</t>
  </si>
  <si>
    <t>Pare Flamme</t>
  </si>
  <si>
    <t>P.I.</t>
  </si>
  <si>
    <t>Poteau Incendie</t>
  </si>
  <si>
    <t>P.S.</t>
  </si>
  <si>
    <t>Position de Sécurité</t>
  </si>
  <si>
    <t>P.S.C.</t>
  </si>
  <si>
    <t>Premier Secours Civique</t>
  </si>
  <si>
    <t>R.I.A.</t>
  </si>
  <si>
    <t>Robinet d'Incendie Armé</t>
  </si>
  <si>
    <t>S.A.T.I.</t>
  </si>
  <si>
    <t>Système Automatique à Test Intégré</t>
  </si>
  <si>
    <t>Système de Détection Incendie</t>
  </si>
  <si>
    <t>S.F.</t>
  </si>
  <si>
    <t>Stable au Feu</t>
  </si>
  <si>
    <t>Système de Mise en Sécurité Incendie</t>
  </si>
  <si>
    <t>S.S.I.</t>
  </si>
  <si>
    <t>Système de Sécurité Incendie</t>
  </si>
  <si>
    <t>S.S.I.A.P.</t>
  </si>
  <si>
    <t>Système de Sécurité Incendie et d'Assistance à Personnes</t>
  </si>
  <si>
    <t>S.S.S.</t>
  </si>
  <si>
    <t>Système de Sonorisation de Sécurité</t>
  </si>
  <si>
    <t>S.S.T.</t>
  </si>
  <si>
    <t>Sauveteur Secouriste du Travail</t>
  </si>
  <si>
    <t>T.D.</t>
  </si>
  <si>
    <t>Tableau Divisionnaire</t>
  </si>
  <si>
    <t>T.G.B.T.</t>
  </si>
  <si>
    <t>Tableau Général Basse Tention</t>
  </si>
  <si>
    <t>T.G.H.T.</t>
  </si>
  <si>
    <t>Tableau Général Haute Tention</t>
  </si>
  <si>
    <t>T.S.</t>
  </si>
  <si>
    <t>Tableau de Signalisation</t>
  </si>
  <si>
    <t>U.A.E.</t>
  </si>
  <si>
    <t>Unité d'Aide à l'Exploitation</t>
  </si>
  <si>
    <t>U.C.M.C.</t>
  </si>
  <si>
    <t>Unité de Commandes Manuelles Centralisées</t>
  </si>
  <si>
    <t>U.G.A.</t>
  </si>
  <si>
    <t>Unité de Gestion d'Alarme</t>
  </si>
  <si>
    <t>U.G.C.I.S.</t>
  </si>
  <si>
    <t>Unité de Gestion Centralisée des Issues de Secours</t>
  </si>
  <si>
    <t>U.S.</t>
  </si>
  <si>
    <t>Unité de Signalisation</t>
  </si>
  <si>
    <t>V.B.</t>
  </si>
  <si>
    <t>Ventilation Basse</t>
  </si>
  <si>
    <t>V.H.</t>
  </si>
  <si>
    <t>Ventilation Haute</t>
  </si>
  <si>
    <t>V.T.</t>
  </si>
  <si>
    <t>Voie de Transmission</t>
  </si>
  <si>
    <t>Z.A.</t>
  </si>
  <si>
    <t>Zone d'Alarme</t>
  </si>
  <si>
    <t>Z.C.</t>
  </si>
  <si>
    <t>Zone de Compartimentage</t>
  </si>
  <si>
    <t>Z.D.</t>
  </si>
  <si>
    <t>Zone de Détection</t>
  </si>
  <si>
    <t>Z.D.A.</t>
  </si>
  <si>
    <t>Zone de Détecteurs Automatiques</t>
  </si>
  <si>
    <t>Z.D.M.</t>
  </si>
  <si>
    <t>Zone de Déclencheurs Manuels</t>
  </si>
  <si>
    <t>Z.F.</t>
  </si>
  <si>
    <t>Zone de Désenfumage</t>
  </si>
  <si>
    <t>Z.S.</t>
  </si>
  <si>
    <t>Zone de Mise en Sécurité</t>
  </si>
  <si>
    <t>Le Feu</t>
  </si>
  <si>
    <t>UV01 (1)</t>
  </si>
  <si>
    <t>UV01 (2)</t>
  </si>
  <si>
    <t>UV02</t>
  </si>
  <si>
    <t>Classement des ERP</t>
  </si>
  <si>
    <t>Classement des IGH</t>
  </si>
  <si>
    <t>Sécurité incendie en ERP</t>
  </si>
  <si>
    <t>UV04 (1)</t>
  </si>
  <si>
    <t>UV04 (2)</t>
  </si>
  <si>
    <t>UV05</t>
  </si>
  <si>
    <t>Sécurité incendie en IGH</t>
  </si>
  <si>
    <t>Les moyens de secours</t>
  </si>
  <si>
    <t>Les installations électriques</t>
  </si>
  <si>
    <t>Le S.S.I.</t>
  </si>
  <si>
    <t>UV09 (1)</t>
  </si>
  <si>
    <t>Rôles et missions des agents</t>
  </si>
  <si>
    <t>UV09 (2)</t>
  </si>
  <si>
    <t xml:space="preserve">Les liquides </t>
  </si>
  <si>
    <t xml:space="preserve">L’énergie d’activation </t>
  </si>
  <si>
    <t>Proposition G</t>
  </si>
  <si>
    <t xml:space="preserve">Quels combustibles forment des braises au cours de leur combustion ? </t>
  </si>
  <si>
    <t xml:space="preserve">Les solides </t>
  </si>
  <si>
    <t xml:space="preserve">Les gaz </t>
  </si>
  <si>
    <t xml:space="preserve">Les fumées </t>
  </si>
  <si>
    <t xml:space="preserve">Quels sont les éléments qui constituent le triangle du feu ? </t>
  </si>
  <si>
    <t xml:space="preserve">Le gaz carbonique </t>
  </si>
  <si>
    <t xml:space="preserve">Le comburant </t>
  </si>
  <si>
    <t xml:space="preserve">Le combustible </t>
  </si>
  <si>
    <t xml:space="preserve">La poudre </t>
  </si>
  <si>
    <t xml:space="preserve">L’eau avec additif </t>
  </si>
  <si>
    <t xml:space="preserve">Parmi ces propositions indiquez le (ou les) comburant(s) ? </t>
  </si>
  <si>
    <t xml:space="preserve">Un combustible liquide appelé aussi carburant </t>
  </si>
  <si>
    <t xml:space="preserve">La chaleur </t>
  </si>
  <si>
    <t xml:space="preserve">L’oxygène de l’air </t>
  </si>
  <si>
    <t xml:space="preserve">La couche d’ozone </t>
  </si>
  <si>
    <t xml:space="preserve">Parmi ces propositions, indiquez celle(s) considérée(s) comme étant un comburant ? </t>
  </si>
  <si>
    <t xml:space="preserve">Le propane </t>
  </si>
  <si>
    <t xml:space="preserve">Les flammes </t>
  </si>
  <si>
    <t xml:space="preserve">L’huile hydraulique </t>
  </si>
  <si>
    <t xml:space="preserve">L’oxygène </t>
  </si>
  <si>
    <t xml:space="preserve">L’essence </t>
  </si>
  <si>
    <t xml:space="preserve">La combustion est une réaction : </t>
  </si>
  <si>
    <t xml:space="preserve">Exothermocimétrique </t>
  </si>
  <si>
    <t xml:space="preserve">Exothermique </t>
  </si>
  <si>
    <t xml:space="preserve">Oxydable </t>
  </si>
  <si>
    <t xml:space="preserve">Exothérique </t>
  </si>
  <si>
    <t xml:space="preserve">Extra-thermique </t>
  </si>
  <si>
    <t xml:space="preserve">Quelles sont les différentes causes des incendies ? </t>
  </si>
  <si>
    <t xml:space="preserve">Naturelles </t>
  </si>
  <si>
    <t xml:space="preserve">Catastrophiques </t>
  </si>
  <si>
    <t xml:space="preserve">Humaines </t>
  </si>
  <si>
    <t xml:space="preserve">Techniques </t>
  </si>
  <si>
    <t xml:space="preserve">Réelles </t>
  </si>
  <si>
    <t xml:space="preserve">Un incendie peut être d’origine : </t>
  </si>
  <si>
    <t xml:space="preserve">Alimentaire </t>
  </si>
  <si>
    <t xml:space="preserve">Humaine </t>
  </si>
  <si>
    <t xml:space="preserve">Naturelle </t>
  </si>
  <si>
    <t xml:space="preserve">Électrique </t>
  </si>
  <si>
    <t xml:space="preserve">Hydraulique </t>
  </si>
  <si>
    <t xml:space="preserve">Afin de déterminer les agents extincteurs à utiliser, comment classe-t-on les familles de combustibles ? </t>
  </si>
  <si>
    <t xml:space="preserve">En fonction de leur dangerosité </t>
  </si>
  <si>
    <t xml:space="preserve">En fonction du type de combustion (lente, vive, spontanée) </t>
  </si>
  <si>
    <t xml:space="preserve">En fonction de leurs points éclair </t>
  </si>
  <si>
    <t xml:space="preserve">En fonction de leurs états (solide, liquide, gaz) </t>
  </si>
  <si>
    <t xml:space="preserve">Quels sont, parmi les propositions suivantes, les éléments qui appartiennent à la classe de feu D ? </t>
  </si>
  <si>
    <t xml:space="preserve">Le bois </t>
  </si>
  <si>
    <t xml:space="preserve">L’aluminium </t>
  </si>
  <si>
    <t xml:space="preserve">Le butane </t>
  </si>
  <si>
    <t xml:space="preserve">Le sodium </t>
  </si>
  <si>
    <t xml:space="preserve">Quels sont, parmi les propositions suivantes, les éléments qui appartiennent à la classe de feu B ? </t>
  </si>
  <si>
    <t xml:space="preserve">L’huile moteur </t>
  </si>
  <si>
    <t xml:space="preserve">L’alcool </t>
  </si>
  <si>
    <t xml:space="preserve">La paille </t>
  </si>
  <si>
    <t xml:space="preserve">Certains plastiques </t>
  </si>
  <si>
    <t xml:space="preserve">Qu’est-ce que la convection dans un feu ? </t>
  </si>
  <si>
    <t xml:space="preserve">C’est la transmission de la chaleur par la masse même du matériau </t>
  </si>
  <si>
    <t xml:space="preserve">C’est la transmission de la chaleur par l’intermédiaire de l’air </t>
  </si>
  <si>
    <t xml:space="preserve">C’est la transmission de la chaleur par l’intermédiaire d’ondes électromagnétiques </t>
  </si>
  <si>
    <t xml:space="preserve">C’est la transmission de la chaleur par l’intermédiaire de particules incandescentes </t>
  </si>
  <si>
    <t xml:space="preserve">Comment se propage la chaleur par rayonnement ? </t>
  </si>
  <si>
    <t xml:space="preserve">Par la masse du matériau </t>
  </si>
  <si>
    <t xml:space="preserve">Par projection de particules incandescentes </t>
  </si>
  <si>
    <t xml:space="preserve">Par déplacement de la fumée </t>
  </si>
  <si>
    <t xml:space="preserve">Par mouvement des gaz chauds </t>
  </si>
  <si>
    <t xml:space="preserve">Par l’intermédiaire d’ondes électromagnétiques </t>
  </si>
  <si>
    <t xml:space="preserve">Qu’est-ce que la conduction dans un feu ? </t>
  </si>
  <si>
    <t xml:space="preserve">Quels sont les modes de propagation d’un incendie ? </t>
  </si>
  <si>
    <t xml:space="preserve">Le rayonnement </t>
  </si>
  <si>
    <t xml:space="preserve">Les projections </t>
  </si>
  <si>
    <t xml:space="preserve">La conviction </t>
  </si>
  <si>
    <t xml:space="preserve">La conduction </t>
  </si>
  <si>
    <t xml:space="preserve">La fragmentation </t>
  </si>
  <si>
    <t xml:space="preserve">La convection </t>
  </si>
  <si>
    <t xml:space="preserve">À quoi s’applique la résistance au feu ? </t>
  </si>
  <si>
    <t xml:space="preserve">Aux matériaux utilisés pour l’ameublement </t>
  </si>
  <si>
    <t xml:space="preserve">Aux éléments de construction </t>
  </si>
  <si>
    <t xml:space="preserve">Aux revêtements de sol </t>
  </si>
  <si>
    <t xml:space="preserve">Aux piliers </t>
  </si>
  <si>
    <t xml:space="preserve">À la quantité de chaleur dégagée </t>
  </si>
  <si>
    <t xml:space="preserve">Comment sont exprimées les durées de résistance au feu, dans les euroclasses ? </t>
  </si>
  <si>
    <t xml:space="preserve">En secondes </t>
  </si>
  <si>
    <t xml:space="preserve">En minutes </t>
  </si>
  <si>
    <t xml:space="preserve">En heures </t>
  </si>
  <si>
    <t xml:space="preserve">En heures et minutes </t>
  </si>
  <si>
    <t xml:space="preserve">SF-PF-CF correspondent : </t>
  </si>
  <si>
    <t xml:space="preserve">À la résistance au feu des éléments de construction </t>
  </si>
  <si>
    <t xml:space="preserve">À la réaction au feu des matériaux de construction </t>
  </si>
  <si>
    <t xml:space="preserve">Aux niveaux d’accès du S.S.I </t>
  </si>
  <si>
    <t xml:space="preserve">Aux classements d’E.R.P </t>
  </si>
  <si>
    <t xml:space="preserve">La réaction au feu d’un matériau peut être notée : </t>
  </si>
  <si>
    <t xml:space="preserve">SF </t>
  </si>
  <si>
    <t xml:space="preserve">A1 </t>
  </si>
  <si>
    <t xml:space="preserve">CF </t>
  </si>
  <si>
    <t xml:space="preserve">M2 </t>
  </si>
  <si>
    <t xml:space="preserve">Le classement M1 correspond à : </t>
  </si>
  <si>
    <t xml:space="preserve">La résistance au feu d’une porte </t>
  </si>
  <si>
    <t xml:space="preserve">Le potentiel d’extinction d’un extincteur </t>
  </si>
  <si>
    <t xml:space="preserve">La réaction au feu d’un matériau </t>
  </si>
  <si>
    <t xml:space="preserve">La manœuvre mensuelle obligatoire </t>
  </si>
  <si>
    <t xml:space="preserve">Un classement de réaction au feu est demandé pour : </t>
  </si>
  <si>
    <t xml:space="preserve">Un revêtement mural </t>
  </si>
  <si>
    <t xml:space="preserve">Un rétroprojecteur </t>
  </si>
  <si>
    <t xml:space="preserve">Un revêtement de sol </t>
  </si>
  <si>
    <t xml:space="preserve">Un gros mobilier </t>
  </si>
  <si>
    <t xml:space="preserve">En ERP, donnez les principales règles pour le revêtement des escaliers encloisonnés ? </t>
  </si>
  <si>
    <t xml:space="preserve">M1 pour les murs </t>
  </si>
  <si>
    <t xml:space="preserve">M2 pour le sol </t>
  </si>
  <si>
    <t xml:space="preserve">M3 pour le plafond </t>
  </si>
  <si>
    <t xml:space="preserve">M4 pour le sol </t>
  </si>
  <si>
    <t xml:space="preserve">M1 pour le plafond </t>
  </si>
  <si>
    <t xml:space="preserve">M3 pour le sol </t>
  </si>
  <si>
    <t xml:space="preserve">La résistance au feu s’applique : </t>
  </si>
  <si>
    <t xml:space="preserve">Aux meubles </t>
  </si>
  <si>
    <t xml:space="preserve">Aux sapins de Noël </t>
  </si>
  <si>
    <t xml:space="preserve">Aux objets </t>
  </si>
  <si>
    <t xml:space="preserve">Un élément de construction qui résiste au feu peut être classé : </t>
  </si>
  <si>
    <t xml:space="preserve">Coupe-feu </t>
  </si>
  <si>
    <t xml:space="preserve">REI </t>
  </si>
  <si>
    <t xml:space="preserve">Pare-feu </t>
  </si>
  <si>
    <t xml:space="preserve">A.E.S. </t>
  </si>
  <si>
    <t xml:space="preserve">Stable au feu </t>
  </si>
  <si>
    <t xml:space="preserve">Quel établissement suivant est classé en type OA ? </t>
  </si>
  <si>
    <t xml:space="preserve">Un hôtel habité </t>
  </si>
  <si>
    <t xml:space="preserve">Un hôtel d’altitude </t>
  </si>
  <si>
    <t xml:space="preserve">Une habitation occupée </t>
  </si>
  <si>
    <t xml:space="preserve">Un organisme agréé </t>
  </si>
  <si>
    <t xml:space="preserve">Qu’est-ce qu’un établissement de type PA ? </t>
  </si>
  <si>
    <t xml:space="preserve">Un parc automobile </t>
  </si>
  <si>
    <t xml:space="preserve">Un stand de tir </t>
  </si>
  <si>
    <t xml:space="preserve">Un centre de formation professionnel pour adultes </t>
  </si>
  <si>
    <t xml:space="preserve">Parmi les établissements suivants, lesquels sont des ERP ? </t>
  </si>
  <si>
    <t xml:space="preserve">Un train de voyageur </t>
  </si>
  <si>
    <t xml:space="preserve">Un parc d’exposition </t>
  </si>
  <si>
    <t xml:space="preserve">Une salle de concert </t>
  </si>
  <si>
    <t xml:space="preserve">Un dépôt de gaz </t>
  </si>
  <si>
    <t xml:space="preserve">Une menuiserie </t>
  </si>
  <si>
    <t xml:space="preserve">Quel règlement de sécurité incendie est applicable aux E.R.P. du 1er groupe ? </t>
  </si>
  <si>
    <t xml:space="preserve">L’arrêté du 08 mai 1968 modifié </t>
  </si>
  <si>
    <t xml:space="preserve">L’arrêté du 18 octobre 1977 modifié </t>
  </si>
  <si>
    <t xml:space="preserve">L’arrêté du 25 juin 1980 modifié </t>
  </si>
  <si>
    <t xml:space="preserve">L’arrêté du 02 mai 2005 modifié </t>
  </si>
  <si>
    <t xml:space="preserve">L’arrêté du 23 août 2008 modifié </t>
  </si>
  <si>
    <t xml:space="preserve">Une maison d’accueil pour handicapés pouvant recevoir 308 personnes est classée : </t>
  </si>
  <si>
    <t xml:space="preserve">Type J </t>
  </si>
  <si>
    <t xml:space="preserve">Type U </t>
  </si>
  <si>
    <t xml:space="preserve">Type R </t>
  </si>
  <si>
    <t xml:space="preserve">2ème catégorie </t>
  </si>
  <si>
    <t xml:space="preserve">3ème catégorie </t>
  </si>
  <si>
    <t xml:space="preserve">4ème catégorie </t>
  </si>
  <si>
    <t xml:space="preserve">Les ERP sont classés par catégorie en fonction : </t>
  </si>
  <si>
    <t xml:space="preserve">Du nombre maximum de personnes admises </t>
  </si>
  <si>
    <t xml:space="preserve">Du nombre d’étages </t>
  </si>
  <si>
    <t xml:space="preserve">Du nombre de locaux </t>
  </si>
  <si>
    <t xml:space="preserve">Du nombre de sorties </t>
  </si>
  <si>
    <t xml:space="preserve">Les IGH à usage exclusif de bureaux sont classés de la façon suivante : </t>
  </si>
  <si>
    <t xml:space="preserve">GHZ </t>
  </si>
  <si>
    <t xml:space="preserve">GHR </t>
  </si>
  <si>
    <t xml:space="preserve">GHW1 </t>
  </si>
  <si>
    <t xml:space="preserve">GHW2 </t>
  </si>
  <si>
    <t xml:space="preserve">Le classement d’un bâtiment en immeuble de grande hauteur est déterminé d’après : </t>
  </si>
  <si>
    <t xml:space="preserve">La catégorie de l’établissement </t>
  </si>
  <si>
    <t xml:space="preserve">La surface accessible au public </t>
  </si>
  <si>
    <t xml:space="preserve">La hauteur du plancher bas du dernier niveau </t>
  </si>
  <si>
    <t xml:space="preserve">La commission de sécurité compétente </t>
  </si>
  <si>
    <t xml:space="preserve">Qu’est-ce qu’un GH S ? </t>
  </si>
  <si>
    <t xml:space="preserve">Un IGH à usage mixte </t>
  </si>
  <si>
    <t xml:space="preserve">Un IGH d’enseignement </t>
  </si>
  <si>
    <t xml:space="preserve">Un IGH d’habitation </t>
  </si>
  <si>
    <t xml:space="preserve">Un IGH d’archives </t>
  </si>
  <si>
    <t xml:space="preserve">Est considéré comme IGH, tout bâtiment dont le plancher bas du dernier niveau est situé à plus de : </t>
  </si>
  <si>
    <t xml:space="preserve">50 mètres pour les immeubles à usage d’habitation </t>
  </si>
  <si>
    <t xml:space="preserve">28 mètres pour les immeubles ne relevant pas de l’habitation </t>
  </si>
  <si>
    <t xml:space="preserve">28 mètres pour les immeubles à usage d’habitation </t>
  </si>
  <si>
    <t xml:space="preserve">Un immeuble à usage de bureau dont le plancher bas du dernier niveau est situé à 18 mètres de hauteur sera classé en : </t>
  </si>
  <si>
    <t xml:space="preserve">GH U </t>
  </si>
  <si>
    <t xml:space="preserve">GH W1 </t>
  </si>
  <si>
    <t xml:space="preserve">GH W2 </t>
  </si>
  <si>
    <t xml:space="preserve">GH Z </t>
  </si>
  <si>
    <t xml:space="preserve">Qu’est-ce qu’un GH U ? </t>
  </si>
  <si>
    <t xml:space="preserve">Un IGH à usage d’habitation </t>
  </si>
  <si>
    <t xml:space="preserve">Un IGH à usage de bureaux </t>
  </si>
  <si>
    <t xml:space="preserve">Un IGH à usage d’archives </t>
  </si>
  <si>
    <t xml:space="preserve">Qu’est-ce qu’un GH A ? </t>
  </si>
  <si>
    <t xml:space="preserve">Un IGH de bureaux </t>
  </si>
  <si>
    <t xml:space="preserve">Un IGH hôtelier </t>
  </si>
  <si>
    <t xml:space="preserve">Un IGH hospitalier </t>
  </si>
  <si>
    <t>BonneRéponse</t>
  </si>
  <si>
    <t>B,C,D</t>
  </si>
  <si>
    <t>A,C,D</t>
  </si>
  <si>
    <t>B,D</t>
  </si>
  <si>
    <t>A,B,D</t>
  </si>
  <si>
    <t>A,B,D,F</t>
  </si>
  <si>
    <t>La résistance au feu concerne la capacité des éléments de construction à conserver leurs fonctions (portance, étanchéité, isolation) pendant un temps donné en cas d’incendie. Elle ne s’applique pas aux meubles ou objets.</t>
  </si>
  <si>
    <t>Les euroclasses utilisent les critères R, E, I suivis d’un nombre en minutes (ex. REI 120 = coupe-feu pendant 120 minutes).</t>
  </si>
  <si>
    <t>SF = Stable au feu (résistance mécanique)
PF = Pare-flammes (étanchéité aux flammes)
CF = Coupe-feu (étanchéité + isolation thermique)</t>
  </si>
  <si>
    <t>B,D,E</t>
  </si>
  <si>
    <t>A1 = Euroclasse (incombustible)
M0, M1, M2, M3, M4 = Classement français (réaction au feu)
SF et CF concernent la résistance au feu, pas la réaction.</t>
  </si>
  <si>
    <r>
      <t xml:space="preserve">M1 = matériau combustible mais </t>
    </r>
    <r>
      <rPr>
        <b/>
        <sz val="11"/>
        <color theme="1"/>
        <rFont val="Segoe UI"/>
        <family val="2"/>
      </rPr>
      <t>non inflammable</t>
    </r>
    <r>
      <rPr>
        <sz val="11"/>
        <color theme="1"/>
        <rFont val="Segoe UI"/>
        <family val="2"/>
      </rPr>
      <t xml:space="preserve"> (ex. PVC rigide, composites).</t>
    </r>
  </si>
  <si>
    <t>Comentaire</t>
  </si>
  <si>
    <t>A,C</t>
  </si>
  <si>
    <t>A,E,F</t>
  </si>
  <si>
    <t>C’est la règle du 311 : murs et plafonds M1, sols M3.</t>
  </si>
  <si>
    <t>Elle concerne les structures (poteaux, murs, planchers, portes), pas les meubles ou objets.</t>
  </si>
  <si>
    <t>A,B,C,E</t>
  </si>
  <si>
    <t>SF, PF, CF = ancien système français
REI = système européen (R = portance, E = étanchéité, I = isolation)</t>
  </si>
  <si>
    <t>B,C</t>
  </si>
  <si>
    <t>A,E</t>
  </si>
  <si>
    <t>C,D</t>
  </si>
  <si>
    <t>A,B</t>
  </si>
  <si>
    <t>M0</t>
  </si>
  <si>
    <t>Les revêtements (murs, sols, plafonds) doivent respecter des exigences de réaction au feu (M1, M2, M3 selon zones). Le gros mobilier est défini comme étant le mobilier constituant l'agencement principal. Il comprend ainsi les comptoirs d'accueil, bars, rayonnages, cloisonnements… Pour les ERP des catégories 1 à 4, le gros mobilier doit être en matériau de catégorie M3 (moyennement inflammable)</t>
  </si>
  <si>
    <t>[1] Le feu (4)</t>
  </si>
  <si>
    <t>[1.1] Le feu partie 1</t>
  </si>
  <si>
    <t>1. Quels combustibles forment des braises au cours de leur combustion ?|Les liquides|Les solides|Les gaz|Les fumées|Aucune des réponses précédentes</t>
  </si>
  <si>
    <t>2. Quels sont les éléments qui constituent le triangle du feu ?|Le gaz carbonique|Le comburant|Le combustible|L’énergie d’activation|La poudre|L’eau avec additif|Aucune des réponses précédentes</t>
  </si>
  <si>
    <t>3. Parmi ces propositions indiquez le (ou les) comburant(s) ?|Un combustible liquide appelé aussi carburant|Le gaz carbonique|La chaleur|L’oxygène de l’air|La couche d’ozone|Aucune des réponses précédentes</t>
  </si>
  <si>
    <t>4. Parmi ces propositions, indiquez celle(s) considérée(s) comme étant un comburant ?|Le propane|Les flammes|L’huile hydraulique|L’oxygène|L’essence|Aucune des réponses précédentes</t>
  </si>
  <si>
    <t>5. La combustion est une réaction :|Exothermocimétrique|Exothermique|Oxydable|Exothérique|Extra-thermique|Aucune des réponses précédentes</t>
  </si>
  <si>
    <t>6. Quelles sont les différentes causes des incendies ?|Naturelles|Catastrophiques|Humaines|Techniques|Réelles|Aucune des réponses précédentes</t>
  </si>
  <si>
    <t>7. Un incendie peut être d’origine :|Alimentaire|Humaine|Naturelle|Électrique|Hydraulique|Aucune des réponses précédentes</t>
  </si>
  <si>
    <t>8. Afin de déterminer les agents extincteurs à utiliser, comment classe-t-on les familles de combustibles ?|En fonction de leur dangerosité|En fonction du type de combustion (lente, vive, spontanée)|En fonction de leurs points éclair|En fonction de leurs états (solide, liquide, gaz)|Aucune des réponses précédentes</t>
  </si>
  <si>
    <t>9. Quels sont, parmi les propositions suivantes, les éléments qui appartiennent à la classe de feu D ?|Le bois|L’aluminium|Le butane|Le sodium|Aucune des réponses précédentes</t>
  </si>
  <si>
    <t>10. Quels sont, parmi les propositions suivantes, les éléments qui appartiennent à la classe de feu B ?|L’huile moteur|L’alcool|La paille|Certains plastiques|L’oxygène|Aucune des réponses précédentes</t>
  </si>
  <si>
    <t>11. Qu’est-ce que la convection dans un feu ?|C’est la transmission de la chaleur par la masse même du matériau|C’est la transmission de la chaleur par l’intermédiaire de l’air|C’est la transmission de la chaleur par l’intermédiaire d’ondes électromagnétiques|C’est la transmission de la chaleur par l’intermédiaire de particules incandescentes|Aucune des réponses précédentes</t>
  </si>
  <si>
    <t>12. Comment se propage la chaleur par rayonnement ?|Par la masse du matériau|Par projection de particules incandescentes|Par déplacement de la fumée|Par mouvement des gaz chauds|Par l’intermédiaire d’ondes électromagnétiques|Aucune des réponses précédentes</t>
  </si>
  <si>
    <t>13. Qu’est-ce que la conduction dans un feu ?|C’est la transmission de la chaleur par la masse même du matériau|C’est la transmission de la chaleur par l’intermédiaire de l’air|C’est la transmission de la chaleur par l’intermédiaire d’ondes électromagnétiques|C’est la transmission de la chaleur par l’intermédiaire de particules incandescentes|Aucune des réponses précédentes</t>
  </si>
  <si>
    <t>14. Quels sont les modes de propagation d’un incendie ?|Le rayonnement|Les projections|La conviction|La conduction|La fragmentation|La convection|Aucune des réponses précédentes</t>
  </si>
  <si>
    <t>[1.2] Le feu partie 2</t>
  </si>
  <si>
    <t>1. À quoi s’applique la résistance au feu ?|Aux matériaux utilisés pour l’ameublement|Aux éléments de construction|Aux revêtements de sol|Aux piliers|À la quantité de chaleur dégagée|Aucune des réponses précédentes</t>
  </si>
  <si>
    <t>2. Comment sont exprimées les durées de résistance au feu, dans les euroclasses ?|En secondes|En minutes|En heures|En heures et minutes|Aucune des réponses précédentes</t>
  </si>
  <si>
    <t>3. SF-PF-CF correspondent :|À la résistance au feu des éléments de construction|À la réaction au feu des matériaux de construction|Aux niveaux d’accès du S.S.I|Aux classements d’E.R.P|Aucune des réponses précédentes</t>
  </si>
  <si>
    <t>4. La réaction au feu d’un matériau peut être notée :|SF|A1|CF|M0|M2|Aucune des réponses précédentes</t>
  </si>
  <si>
    <t>5. Le classement M1 correspond à :|La résistance au feu d’une porte|Le potentiel d’extinction d’un extincteur|La réaction au feu d’un matériau|La manœuvre mensuelle obligatoire|Aucune des réponses précédentes</t>
  </si>
  <si>
    <t>6. Un classement de réaction au feu est demandé pour :|Un revêtement mural|Un rétroprojecteur|Un revêtement de sol|Un gros mobilier|Aucune des réponses précédentes</t>
  </si>
  <si>
    <t>7. En ERP, donnez les principales règles pour le revêtement des escaliers encloisonnés ?|M1 pour les murs|M2 pour le sol|M3 pour le plafond|M4 pour le sol|M1 pour le plafond|M3 pour le sol|Aucune des réponses précédentes</t>
  </si>
  <si>
    <t>8. La résistance au feu s’applique :|Aux meubles|Aux sapins de Noël|Aux objets|Aux éléments de construction|Aucune des réponses précédentes</t>
  </si>
  <si>
    <t>9. Un élément de construction qui résiste au feu peut être classé :|Coupe-feu|REI|Pare-feu|A.E.S.|Stable au feu|Aucune des réponses précédentes</t>
  </si>
  <si>
    <t>[2] Classement des ERP (1)</t>
  </si>
  <si>
    <t>[2.1] ERP</t>
  </si>
  <si>
    <t>1. Quel établissement suivant est classé en type OA ?|Un hôtel habité|Un hôtel d’altitude|Une habitation occupée|Un organisme agréé|Aucune des réponses précédentes</t>
  </si>
  <si>
    <t>2. Qu’est-ce qu’un établissement de type PA ?|Un parc automobile|Un stand de tir|Un centre de formation professionnel pour adultes|Aucune des réponses précédentes</t>
  </si>
  <si>
    <t>3. Parmi les établissements suivants, lesquels sont des ERP ?|Un train de voyageur|Un parc d’exposition|Une salle de concert|Un dépôt de gaz|Une menuiserie|Aucune des réponses précédentes</t>
  </si>
  <si>
    <t>4. Quel règlement de sécurité incendie est applicable aux E.R.P. du 1er groupe ?|L’arrêté du 08 mai 1968 modifié|L’arrêté du 18 octobre 1977 modifié|L’arrêté du 25 juin 1980 modifié|L’arrêté du 02 mai 2005 modifié|L’arrêté du 23 août 2008 modifié|Aucune des réponses précédentes</t>
  </si>
  <si>
    <t>5. Une maison d’accueil pour handicapés pouvant recevoir 308 personnes est classée :|Type J|Type U|Type R|2ème catégorie|3ème catégorie|4ème catégorie|Aucune des réponses précédentes</t>
  </si>
  <si>
    <t>6. Les ERP sont classés par catégorie en fonction :|Du nombre maximum de personnes admises|Du nombre d’étages|Du nombre de locaux|Du nombre de sorties|Aucune des réponses précédentes</t>
  </si>
  <si>
    <t>[3] Classement des IGH (1)</t>
  </si>
  <si>
    <t>[2.1] IGH</t>
  </si>
  <si>
    <t>1. Les IGH à usage exclusif de bureaux sont classés de la façon suivante :|GHZ|GHR|GHW1|GHW2|Aucune des réponses précédentes</t>
  </si>
  <si>
    <t>2. Le classement d’un bâtiment en immeuble de grande hauteur est déterminé d’après :|La catégorie de l’établissement|La surface accessible au public|La hauteur du plancher bas du dernier niveau|La commission de sécurité compétente|Aucune des réponses précédentes</t>
  </si>
  <si>
    <t>3. Qu’est-ce qu’un GH S ?|Un IGH à usage mixte|Un IGH d’enseignement|Un IGH d’habitation|Un IGH d’archives|Aucune des réponses précédentes</t>
  </si>
  <si>
    <t>4. Est considéré comme IGH, tout bâtiment dont le plancher bas du dernier niveau est situé à plus de :|50 mètres pour les immeubles à usage d’habitation|28 mètres pour les immeubles ne relevant pas de l’habitation|28 mètres pour les immeubles à usage d’habitation|Aucune des réponses précédentes</t>
  </si>
  <si>
    <t>5. Un immeuble à usage de bureau dont le plancher bas du dernier niveau est situé à 18 mètres de hauteur sera classé en :|GH U|GH W1|GH W2|GH Z|Aucune des réponses précédentes</t>
  </si>
  <si>
    <t>6. Qu’est-ce qu’un GH U ?|Un IGH à usage d’habitation|Un IGH à usage de bureaux|Un IGH à usage mixte|Un IGH à usage d’archives|Aucune des réponses précédentes</t>
  </si>
  <si>
    <t>7. Qu’est-ce qu’un GH A ?|Un IGH d’habitation|Un IGH de bureaux|Un IGH hôtelier|Un IGH hospitalier|Aucune des réponses précédentes</t>
  </si>
  <si>
    <t>[4] Sécurité incendie en ERP (5)</t>
  </si>
  <si>
    <t>[2.2] FONDAMENTAUX</t>
  </si>
  <si>
    <t>1. Quels sont les principes généraux de sécurité en ERP ?|Assurer uniquement la sauvegarde des biens|Permettre une évacuation rapide et sûre des occupants|Gérer le sinistre à la place des secours extérieurs|Limiter la propagation du feu|Faciliter l’intervention des secours|Aucune des réponses précédentes</t>
  </si>
  <si>
    <t>[2.3] DESSERTE</t>
  </si>
  <si>
    <t>1. En règle générale, un ERP est considéré comme isolé s’il est situé à une distance minimum de :|1 mètre du tiers|2 mètres du tiers|3 mètres du tiers|8 mètres du tiers|Aucune des réponses précédentes</t>
  </si>
  <si>
    <t>2. Quelle est l’utilité des baies accessibles ?|Elles permettent l’intervention des équipes de sécurité|Elles permettent l’intervention des services de secours|Elles permettent l’évacuation normale du public|Elles facilitent le nettoyage|Elles permettent la ventilation|Aucune des réponses précédentes</t>
  </si>
  <si>
    <t>3. Un espace libre est un espace permettant :|Aux véhicules du public de stationner librement|Au public d’accéder librement à l’ERP|Aux pompiers d’accéder à l’établissement|Aux véhicules de livraisons de stationner librement|Aucune des réponses précédentes</t>
  </si>
  <si>
    <t>[2.4] CLOISONNEMENT</t>
  </si>
  <si>
    <t>1. Quelles sont les différentes conceptions de distribution intérieure des locaux dans les E.R.P ?|Cloisonnement traditionnel|Cloisonnement moderne|Compartiment|Secteurs|Aucune des réponses précédentes</t>
  </si>
  <si>
    <t>2. En E.R.P, les locaux sont répartis en locaux à risques :|Normaux|Courants|Moyens|Importants|Dangereux|Aucune des réponses précédentes</t>
  </si>
  <si>
    <t>3. En E.R.P. un local poubelle est un local classé :|À risques courants|À risques faibles|À risques particuliers|À risques ciblés|Aucune des réponses précédentes</t>
  </si>
  <si>
    <t>4. Sur une porte coupe-feu que puis-je trouver comme indication :|Porte coupe-feu à ouverture automatique|Porte coupe-feu à maintenir ouverte|Porte coupe-feu à maintenir fermée|Porte coupe-feu - Ne mettez pas d’obstacle à la fermeture|Aucune des réponses précédentes</t>
  </si>
  <si>
    <t>[2.5] ÉVACUATIONS</t>
  </si>
  <si>
    <t>1. On trouve des dégagements :|Élémentaires|Accessoires|Supplémentaires|Complémentaires|Normaux|Sédentaires|Aucune des réponses précédentes</t>
  </si>
  <si>
    <t>2. Un escalier encloisonné est un escalier :|Protégé|À l’air libre|Mis à l’abri des fumées|Désenfumé|Monumental|Aucune des réponses précédentes</t>
  </si>
  <si>
    <t>3. Quelle est la largeur d’une circulation de deux Unités de Passage (UP) ?|0,6 m|0,9 m|1,20 m|1,40 m|1,80 m|Aucune des réponses précédentes</t>
  </si>
  <si>
    <t>4. Quelle est la largeur type de l’Unité de Passage (UP) ?|0,6 m|0,9 m|1,20 m|1,40 m|1,80 m|Aucune des réponses précédentes</t>
  </si>
  <si>
    <t>5. Quelle est la largeur d’une circulation d’une Unité de Passage (UP) ?|0,6 m|0,9 m|1,20 m|1,40 m|1,80 m|Aucune des réponses précédentes</t>
  </si>
  <si>
    <t>6. Un dégagement peut être :|Une porte|Un escalier|Une sortie|Une circulation horizontale|Aucune des réponses précédentes</t>
  </si>
  <si>
    <t>[2.6] DÉSENFUMAGE</t>
  </si>
  <si>
    <t>1. Le désenfumage a pour but de :|Faciliter l’évacuation du public|Faciliter l’interdiction de fumer|Faciliter l’intervention des secours|Refroidir les locaux|Aucune des réponses précédentes</t>
  </si>
  <si>
    <t>2. Un clapet coupe-feu est :|Un volume fermé servant au passage d’un fluide déterminé|Un volume fermé généralement accessible et renfermant un ou plusieurs conduits|Un dispositif actionné de sécurité destiné au compartimentage|Un dispositif d’évacuation des fumées situé en toiture|Aucune des réponses précédentes</t>
  </si>
  <si>
    <t>3. Un conduit est :|Un volume fermé servant au passage d’un fluide déterminé|Un volume fermé généralement accessible et renfermant un ou plusieurs conduits|Un dispositif d’évacuation des fumées situé en façade|Un dispositif d’accès mobile fermé en position normale|Aucune des réponses précédentes</t>
  </si>
  <si>
    <t>4. Une gaine est :|Un volume fermé servant au passage d’un fluide déterminé|Un volume fermé généralement accessible et renfermant un ou plusieurs conduits|Un dispositif d’évacuation des fumées situé en façade|Un dispositif d’accès mobile fermé en position normale|Aucune des réponses précédentes</t>
  </si>
  <si>
    <t>5. En E.R.P., qui peut actionner l’ouverture de l’exutoire de désenfumage d’un escalier protégé ?|Le chef d’établissement|Le SSIAP 1|Le SSIAP 2|Les services de secours|Un témoin|Aucune des réponses précédentes</t>
  </si>
  <si>
    <t>6. Les méthodes de désenfumage d’un ERP peuvent-être :|Naturel/naturel|Mécanique/dynamique|Naturel/mécanique|Naturel/statique|Mécanique/mécanique|Aucune des réponses précédentes</t>
  </si>
  <si>
    <t>7. En ERP, où peut-on trouver le dispositif de commande manuelle du désenfumage naturel d’un escalier encloisonné ?|Au P.C. Sécurité|En bas de l’escalier|Dans les circulations horizontales communes|À tous les niveaux|Aucune des réponses précédentes</t>
  </si>
  <si>
    <t>[2.7] ÉCLAIRAGE</t>
  </si>
  <si>
    <t>1. L’éclairage de sécurité comprend l’éclairage :|D’évacuation|Normal|De remplacement|Anti-panique|D’incendie|Public|Aucune des réponses précédentes</t>
  </si>
  <si>
    <t>2. Dans un ERP, quelle doit être la durée minimum de fonctionnement d’un B.A.E.S. ?|30 minutes|1 heure|2 heures|En fonction de la catégorie de l’E.R.P.|En fonction du type d’E.R.P.|Aucune des réponses précédentes</t>
  </si>
  <si>
    <t>3. Que signifie le terme "B.A.E.S." ?|Un bloc autonome d’éclairage de sécurité|Un bloc d’alarme et de secours|Un boîtier autonome d’éclairage de secours|Une borne d’appel entre les services|Un boîtier d’alimentation électrique de sécurité|Aucune des réponses précédentes</t>
  </si>
  <si>
    <t>4. Que comprend l’éclairage de sécurité ?|L’éclairage de remplacement et l’éclairage normal|L’éclairage de sécurité et l’éclairage d’ambiance|L’éclairage d’évacuation et l’éclairage de remplacement|L’éclairage d’ambiance et d’anti-panique|L’éclairage d’évacuation et l’éclairage d’ambiance ou d’anti-panique|Aucune des réponses précédentes</t>
  </si>
  <si>
    <t>5. Pour un B.A.E.S équipé du système SATI, un voyant jaune signifie :|Bloc en bon état|Défaut|En cours de charge|Défaut de position d’attente|Aucune des réponses précédentes</t>
  </si>
  <si>
    <t>[5] Sécurité incendie en IGH (3)</t>
  </si>
  <si>
    <t>1. En règle générale, dans un IGH, un compartiment doit comporter au moins :|1 escalier protégé|2 escaliers protégés|3 escaliers protégés|Le nombre d’escalier dépend de la commission de sécurité compétente|Autant d’escaliers que d’ascenseurs|Aucune des réponses précédentes</t>
  </si>
  <si>
    <t>2. Quelle doit être, en I.G.H, l’autonomie d’un groupe moteur thermique générateur ?|6 heures|12 heures|24 heures|36 heures|Pendant toute la durée de la coupure|Aucune des réponses précédentes</t>
  </si>
  <si>
    <t>3. En IGH, chaque compartiment doit avoir un degré d’isolement :|Pare-flammes 2h00 ou RE 120|Coupe-feu 1h00 ou REI 60|Pare-flammes 1h00 ou RE 60|Coupe-feu 2h00 ou REI 120|Aucune des réponses précédentes</t>
  </si>
  <si>
    <t>4. Un compartiment en IGH doit respecter les caractéristiques suivantes :|Longueur 75 m maxi|Longueur 60 m maxi|Surface 2500 m² maxi|Surface 2000 m² maxi|Aucune des réponses précédentes</t>
  </si>
  <si>
    <t>5. En IGH, des fumées envahissent tout un compartiment. Dans un premier temps, vous devez faire évacuer :|L’ensemble de l’IGH|Uniquement le compartiment sinistré|Le compartiment sinistré et l’étage supérieur|Le compartiment sinistré, le niveau supérieur et les 2 niveaux inférieurs|Aucune des réponses précédentes</t>
  </si>
  <si>
    <t>6. Un feu se déclare dans une circulation horizontale commune d’un IGH, quelles sont les mises en sécurité automatiques qui se déclenchent ?|Le démarrage du groupe électrogène|Le désenfumage|Le rappel des ascenseurs prioritaires|Le compartimentage|Le non arrêt des ascenseurs|Aucune des réponses précédentes</t>
  </si>
  <si>
    <t>7. Quelle est la distance du volume de protection autour d’un IGH ?|5 mètres|8 mètres|10 mètres|Cela dépend de la hauteur de l’immeuble|Aucune des réponses précédentes</t>
  </si>
  <si>
    <t>8. En IGH quelle doit-être la pression minimale d’un robinet d’incendie armé (RIA) ?|2,5 bars au RIA le plus défavorisé|2,5 bars au RIA le plus favorisé|4 bars au RIA le plus favorisé|4 bars au RIA le plus défavorisé|Aucune des réponses précédentes</t>
  </si>
  <si>
    <t>9. Combien d’appareils émetteurs-récepteurs radio, le service de sécurité incendie d’un IGH doit-il pouvoir mettre à disposition des pompiers ?|Deux|Quatre|Six|Aucun|Aucune des réponses précédentes</t>
  </si>
  <si>
    <t>10. Quelle inscription peut-on lire sur les portes des dispositifs d’intercommunication desservant les escaliers des IGH ?|Porte coupe-feu à fermeture automatique|Porte coupe-feu à maintenir ouverte|Porte coupe-feu à maintenir fermée|Porte coupe-feu|Aucune des réponses précédentes</t>
  </si>
  <si>
    <t>11. Quel est le moyen d’alerte externe en G.H.U. ?|Un téléphone portable|Un téléphone urbain|Une ligne directe|Un poste portatif|Aucune des réponses précédentes</t>
  </si>
  <si>
    <t>12. En I.G.H, où trouve-t-on le dispositif de commande de désenfumage de secours des escaliers ?|Près des moteurs de désenfumage|Dans les circulations horizontales communes|Au P.C.S.|Il n’y en a pas|Aucune des réponses précédentes</t>
  </si>
  <si>
    <t>13. En IGH, la sensibilisation d’un D.A.I. dans une circulation horizontale commune entraîne :|L’évacuation du compartiment sinistré et des compartiments adjacents|L’évacuation générale du bâtiment|L’évacuation du compartiment sinistré|Uniquement l’alarme restreinte au P.C.S.|Aucune des réponses précédentes</t>
  </si>
  <si>
    <t>14. Dans les IGH comment est assurée la communication entre un compartiment et un escalier ?|Par un dispositif d’ouverture asservi à la D.A.I.|Par un dispositif d’ouverture automatique|Par un dispositif d’intercommunication|Par un dispositif de contrôle d’accès|Aucune des réponses précédentes</t>
  </si>
  <si>
    <t>15. Dans le dispositif d’intercommunication avec l’escalier et le compartiment IGH, le plan du niveau doit comporter l’emplacement :|Des ouvrants de désenfumage et de leurs commandes|Des moyens de secours|Des vannes d’arrêt et du téléphone d’alerte|Des distributeurs de boissons|Du bureau d’accueil et du téléphone urbain|Aucune des réponses précédentes</t>
  </si>
  <si>
    <t>16. Dans un I.G.H, l’alerte extérieure consiste à :|Demander l’intervention du service de sécurité|Demander l’intervention des services publics de secours|Attirer l’attention de sa hiérarchie|Prévenir les occupants d’un compartiment d’évacuer|Aucune des réponses précédentes</t>
  </si>
  <si>
    <t>[6] Les moyens de secours (4)</t>
  </si>
  <si>
    <t>1. Quel gaz est contenu dans la cartouche d’un extincteur à pression auxiliaire ?|De l’oxygène|Du protoxyde d’azote|Du dioxyde de carbone|Du monoxyde de carbone|Du butane|De l’air comprimé|Aucune des réponses précédentes</t>
  </si>
  <si>
    <t>2. Dans le dispositif d’intercommunication avec l’escalier et le compartiment IGH, le plan du niveau doit comporter l’emplacement :|Des ouvrants de désenfumage et de leurs commandes|Des moyens de secours|Des vannes d’arrêt et du téléphone d’alerte|Des distributeurs de boissons|Du bureau d’accueil et du téléphone urbain|Aucune des réponses précédentes</t>
  </si>
  <si>
    <t>3. En IGH, où sont placés les dispositifs phoniques permettant de donner l’alerte intérieure au PCS ?|Dans les circulations privatives|Dans les locaux à risques|Dans les locaux privatifs|Dans les combles|Aucune des réponses précédentes</t>
  </si>
  <si>
    <t>4. En E.R.P quelle doit-être la pression minimale d’un robinet d’incendie armé (RIA) ?|1 bar|2,5 bars au RIA le plus défavorisé|2,5 bars au RIA le plus favorisé|3 bars|Aucune des réponses précédentes</t>
  </si>
  <si>
    <t>5. En règle générale, en IGH, quelle doit être la capacité minimale pour assurer l’alimentation des colonnes en charge ?|60 m³|90 m³|100 m³|120 m³|200 m³|Aucune des réponses précédentes</t>
  </si>
  <si>
    <t>6. Font partie des moyens d’extinction :|Les extincteurs|Le S.S.I|Les poteaux d’incendie|Le désenfumage|L’éclairage de sécurité|Aucune des réponses précédentes</t>
  </si>
  <si>
    <t>7. Quelle est la fréquence réglementaire de vérification des extincteurs ?|Trimestrielle|Semestrielle|Annuelle|Biennale|Quinquennale|Aucune des réponses précédentes</t>
  </si>
  <si>
    <t>8. Qui peut utiliser une colonne sèche en ERP et en IGH ?|Le chef d’établissement|Les agents SSIAP|Le personnel|Le public|Les pompiers|Aucune des réponses précédentes</t>
  </si>
  <si>
    <t>9. À quelle distance doit se trouver le raccord d’alimentation d’une colonne sèche ?|20 m d’un véhicule d’incendie et de secours|60 m maxi de l’entrée de l’établissement|60 m maxi d’un poteau d’incendie|100 m maxi d’un poteau d’incendie|Aucune des réponses précédentes</t>
  </si>
  <si>
    <t>10. Quels sont les éléments qui composent obligatoirement un R.I.A ?|Un robinet d’arrêt|Une hache|Un tuyau semi-rigide|Un tuyau souple|Aucune des réponses précédentes</t>
  </si>
  <si>
    <t>11. Combien de colonnes sèches doit-il y avoir en IGH ?|Une par escalier|Une par compartiment|Par façade accessible|Un nombre défini par la commission de sécurité compétente|Aucune des réponses précédentes</t>
  </si>
  <si>
    <t>12. À partir de quelle hauteur un I.G.H doit-il être équipé de colonnes humides ?|Plus de 18 mètres|Plus de 28 mètres|Plus de 50 mètres|Tout le temps|Suivant décision de la C.C.D.S.A|Aucune des réponses précédentes</t>
  </si>
  <si>
    <t>13. Que signifie le terme R.I.A ?|Réserve d’Incendie Auxiliaire|Robinet d’Intervention Armé|Robinet d’Incendie Armé|Robinet d’Incendie Auxiliaire|Aucune des réponses précédentes</t>
  </si>
  <si>
    <t>[7] Les installations techniques (3)</t>
  </si>
  <si>
    <t>[3.1] INSTALLATIONS ÉLECTRIQUES</t>
  </si>
  <si>
    <t>1. Quels sont les dispositifs pouvant constituer une A.E.S ?|Un groupe électrogène|Des batteries d’accumulateurs|Le réseau électrique de distribution publique|Un onduleur|Aucune des réponses précédentes</t>
  </si>
  <si>
    <t>2. Qu’est-ce qu’un BAPI ?|Une borne aménagée pour l’incendie|Un balisage autonome particulier et indépendant|Bloc autonome portable d’intervention|Bloc autonome portable d’investigation|Aucune des réponses précédentes</t>
  </si>
  <si>
    <t>3. L’autonomie d’une source de sécurité en ERP doit :|Être suffisante pour alimenter la totalité des installations électriques|Être suffisante pour alimenter la totalité des installations de sécurité pendant 1h00 minimum|Être suffisante pour alimenter la totalité des installations de remplacement pendant 06h00|Être définie dans tous les cas par la commission de sécurité compétente|Aucune des réponses précédentes</t>
  </si>
  <si>
    <t>4. L’accès au TGBT est :|Réservé au public|Réservé au public si celui-ci est habilité H0B0|Interdit aux agents SSIAP|Réservé aux personnes qualifiées|Aucune des réponses précédentes</t>
  </si>
  <si>
    <t>5. En ERP les batteries d’accumulateurs doivent être capables de secourir :|Le désenfumage|Les ascenseurs|Les systèmes d’alarme et d’alerte|Les escaliers mécaniques|Aucune des réponses précédentes</t>
  </si>
  <si>
    <t>[3.2] ASCENSEURS</t>
  </si>
  <si>
    <t>1. Quels équipements de sécurité peut-on trouver dans une cabine d’ascenseur ?|Un R.I.A|Une sonnerie d’appel|Une trousse de 1er secours|Un éclairage de sécurité|Un cendrier|Aucune des réponses précédentes</t>
  </si>
  <si>
    <t>2. Afin d’empêcher les accidents de personnes, quels sont les dispositifs de protection équipant les ascenseurs ?|Réducteur de vitesse|Système "parachute"|Système E.S.P.|Système A.B.S.|Porte palière avec sécurité anti-pincement|Aucune des réponses précédentes</t>
  </si>
  <si>
    <t>[3.3] IFEA</t>
  </si>
  <si>
    <t>1. Quelle est la caractéristique minimale de la source A d’une installation fixe d’extinction automatique à eau ?|Réserve d’eau d’une demi-heure|Réserve d’eau d’une heure|Réserve d’eau d’une heure et demie|Source d’eau potable|Aucune des réponses précédentes</t>
  </si>
  <si>
    <t>2. Quelles vannes d’un poste de contrôle “SPRINKLEUR” sont normalement fermées ?|La vanne d’alimentation et la vanne de vidange|La vanne d’alimentation et la vanne de cloche|La vanne de vidange et la vanne d’essai|La vanne d’essai et la vanne de cloche|Aucune des vannes|Aucune des réponses précédentes</t>
  </si>
  <si>
    <t>3. Quelle est la caractéristique minimale de la source B d’une installation fixe d’extinction automatique à eau ?|Réserve d’eau d’une demi-heure|Réserve d’eau d’une heure|Source d’eau dite inépuisable|Aucune des réponses précédentes</t>
  </si>
  <si>
    <t>4. Un poste sprinkler peut surveiller jusqu’à :|99 têtes|500 têtes|1000 têtes|10 000 têtes|Aucune des réponses précédentes</t>
  </si>
  <si>
    <t>5. Le(s) quel(s) de ces équipements fait (font) partie d’une installation d’extinction automatique à eau ?|Des têtes d’extinction|Un réseau de canalisation|Un poteau d’incendie|Un groupe électrogène|Un poste de contrôle|Un manomètre enregistreur|Aucune des réponses précédentes</t>
  </si>
  <si>
    <t>6. La couleur rouge de l’ampoule d’une tête d’extinction correspond à une température de rupture de :|57 °C|68 °C|79 °C|90 °C|Aucune des réponses précédentes</t>
  </si>
  <si>
    <t>7. Quels sont les agents extincteurs rencontrés dans une Installation Fixe d’Extinction Automatique à Gaz ?|L’oxygène|Le dioxyde de carbone|Les gaz lourds|Les agents inhibiteurs|Les gaz inertes|Aucune des réponses précédentes</t>
  </si>
  <si>
    <t>[3.4] COLONNES</t>
  </si>
  <si>
    <t>1. En IGH, quelle doit être la pression statique à assurer en permanence chaque colonne en charge ?|Comprise entre 4 et 6 bars|Comprise entre 5 et 7 bars|Comprise entre 7 et 9 bars|Variable selon le classement|Aucune des réponses précédentes</t>
  </si>
  <si>
    <t>2. Quelles sont les opérations de surveillance à réaliser sur une colonne sèche ?|Vérifier la présence des bouchons à chaque niveau|Contrôler le bon fonctionnement de la robinetterie|S’assurer que le local dans lequel la colonne sèche se trouve est fermé à clé|S’assurer du libre accès des raccords d’alimentation|Aucune des réponses précédentes</t>
  </si>
  <si>
    <t>[8] Le S.S.I. (4)</t>
  </si>
  <si>
    <t>1. Sur l'unité de signalisation qu'indique un voyant jaune fixe ?|Un D.A.S. est en dérangement.|Un D.A.S. n'est plus en position d'attente.|Tous les D.A.S. sont en position d'attente|Un D.A.S. est en position de sécurité|Tous les D.A.S. sont en position de sécurité.|Aucune des réponses précédentes</t>
  </si>
  <si>
    <t>2. Quelle est la durée minimale de la diffusion de l'alarme générale ?|1 minute|5 minutes|10 minutes|1 heure|Aucune des réponses précédentes</t>
  </si>
  <si>
    <t>3. Lors de la mise en route de la fonction désenfumage quels D.A.S seront sollicités ?|Les volets d'amenée d'air et d'extraction des fumées.|Les clapets de ventilation ou de climatisation.|La fermeture des portes C.F.|Le non-stop des ascenseurs dans la zone concernée.|Les coffrets de relayage|Aucune des réponses précédentes</t>
  </si>
  <si>
    <t>4. A quoi sert une U.G.C.I.S ?|Centraliser les informations de la détection|Commander depuis le PC les organes de sécurité|Gérer les issues de secours|Visualiser les détections|Aucune des réponses précédentes</t>
  </si>
  <si>
    <t>5. Qu'indique l'Unité de Signalisation lorsqu'un "voyant rouge" clignote?|Un défaut de ligne|Une zone mise hors service|Les Dispositifs Actionnés de Sécurité en position de sécurité|Les Dispositifs Actionnés de Sécurité en position d'attente|Les lampes de l'unité de signalisation sont défectueuses|Aucune des réponses précédentes</t>
  </si>
  <si>
    <t>6. Dans cette liste, quel(s) élément(s) entre(nt) dans la composition d'un S.S.I. de catégorie A ?|L'unité manuelle de commande|Le centralisateur de mise en sécurité incendie|L'unité de gestion d'alerte|Les alimentations électriques de sécurité|L'agent de sécurité|L'Unité de Gestion d'Alarme|Aucune des réponses précédentes</t>
  </si>
  <si>
    <t>7. En IGH, que se passe-t-il lorsqu'un D.A.I. est sensibilisé dans une circulation horizontale commune?|Il ne se passe rien|Diffusion d'un message pré enregistré|Diffusion de l'alarme générale sonore dans tout le bâtiment|Diffusion de l'alarme générale sonore dans le compartiment sinistré|Aucune réponse précédente</t>
  </si>
  <si>
    <t>8. A quel principe de fonctionnement associe-t-on un détecteur thermo vélocimétrique ?|À l'élévation de la température dans un temps donné|A l'association de l'élévation de température et de fumées|A l'association de l'élévation de température et de flammes|À l'élévation de la température et détection de vapeurs combustibles|Aucune des réponses précédentes</t>
  </si>
  <si>
    <t>9. En I.G.H, quelles fonctions comporte la mise en sécurité ?|Alerte des secours publics|Rappel des ascenseurs prioritaires|Compartimentage|Désenfumage|Aucune des réponses précédentes</t>
  </si>
  <si>
    <t>10. Quel est la fonction de l’ECS ou TS ?|De collecter les informations provenant des DAS et de nous informer de leur état|De mettre en sécurité le bâtiment|De collecter les informations provenant des détecteurs et de nous informer de leur état|Aucune des réponses précédentes</t>
  </si>
  <si>
    <t>11. Quels sont les éléments composant un SMSI ?|Un SDI|Un ou plusieurs DAS|Un ou plusieurs DM|Un CMSI|Un ou plusieurs DAI|Aucune des réponses précédentes</t>
  </si>
  <si>
    <t>12. Quels éléments peuvent entrer dans la composition d’un SMSI ?|Un SDI|Un CMSI|Des DAS|Une AES|Aucune des réponses</t>
  </si>
  <si>
    <t>13. Qu’est-ce qu’une U.A.E ?|Une Unité d’Aide à l’Entraînement|Une Unité d’Assistance à l’Exploitation|Une Unité Assistée d’Évacuation|Une Unité d’Aide à l’Exploitation|Aucune des réponses précédentes</t>
  </si>
  <si>
    <t>14. Quels sont les DAS qui participent à la fonction de désenfumage ?|Les volets de désenfumage|Les clapets coupe-feu|Les exutoires|Les diffuseurs sonores|Les ouvrants en façade|Les portes coupe-feu|Aucune des réponses précédentes</t>
  </si>
  <si>
    <t>15. Qu’est-ce que l’alarme restreinte ?|Un signal direct au centre d’incendie et de secours|Un signal d’évacuation qui prévient les occupants|Un appel téléphonique au chef d’établissement|Un dispositif de communication entre les agents de sécurité|Aucune des réponses précédentes</t>
  </si>
  <si>
    <t>16. En ERP, on trouve des D.M dans un S.S.I de catégorie :|A|B|C|D|Aucune des réponses précédentes</t>
  </si>
  <si>
    <t>17. Quel est le niveau d’accès pour effectuer un réarmement sur le SSI ?|Niveau d’accès 0|Niveau d’accès 1|Niveau d’accès 2|Niveau d’accès 3|Niveau d’accès 4|Niveau d’accès 5|Aucune des réponses précédentes</t>
  </si>
  <si>
    <t>18. Lors de la mise en route de la fonction désenfumage quels DAS seront sollicités ?|Les volets d’amenée d’air et d’extraction des fumées|Les clapets de ventilation ou de climatisation|La fermeture des portes C.F|Le non-stop des ascenseurs dans la zone concernée|Les coffrets de relayage|Aucune des réponses précédentes</t>
  </si>
  <si>
    <t>19. À quoi sert une U.C.M.C ?|Centraliser les informations de la détection|Commander depuis le C.M.S.I les dispositifs actionnés de sécurité|Gérer les issues de secours|Visualiser les détections|Aucune des réponses précédentes</t>
  </si>
  <si>
    <t>20. Dans quelles catégories de S.S.I trouve-t-on un C.M.S.I ?|Catégorie A|Catégorie B|Catégorie C|Catégorie D|Catégorie E|Aucune des réponses précédentes</t>
  </si>
  <si>
    <t>[9] Rôles et mission des agents (5)</t>
  </si>
  <si>
    <t>[4.1] Rôle et missions</t>
  </si>
  <si>
    <t>1. Sauf dispositions particulières, quand un service de sécurité est imposé avec des agents de sécurité incendie, il est composé au minimum de :|3 agents dont 1 chef d’équipe|3 agents et 1 chef d’équipe|2 agents dont 1 chef d’équipe|1 agent et 1 chef d’équipe|Aucune des réponses précédentes</t>
  </si>
  <si>
    <t>2. Indiquer dans quel(s) cas, un service de sécurité incendie est constitué obligatoirement avec des agents SSIAP :|Dans tout type d’ERP|Dans tout IGH|Seulement s’il y a des locaux à sommeil|Seulement la nuit|Uniquement pendant la présence du public|Aucune des réponses précédentes</t>
  </si>
  <si>
    <t>3. En qualité d’agent de sécurité incendie, pouvez-vous utiliser une nacelle de nettoyage ?|Oui|Non|Oui, sur ordre du chef de service de sécurité incendie|Oui, pour aider les ouvriers|Aucune des réponses précédentes</t>
  </si>
  <si>
    <t>4. Quelles sont les missions spécifiques du service de sécurité incendie ?|L’assistance à personne au sein des établissements où ils exercent|L’exploitation du contrôle d’accès|Le filtrage des visiteurs|La prévention des incendies|Aucune des réponses précédentes</t>
  </si>
  <si>
    <t>5. Indiquer les informations que l’on trouve dans l’Arrêté relatif au SSIAP :|Les missions des SSIAP|La rémunération des SSIAP|Le niveau de qualification des SSIAP|La formation des agents de sûreté|L’emploi des SSIAP|Aucune des réponses précédentes</t>
  </si>
  <si>
    <t>[4.2] Consignes et main courante</t>
  </si>
  <si>
    <t>1. Les consignes générales sont destinées :|Au public et au personnel|Uniquement aux agents SSIAP|À une catégorie de personnes déterminée|Aucune des réponses précédentes</t>
  </si>
  <si>
    <t>2. Les consignes particulières sont destinées :|Au public et au personnel|Uniquement aux agents SSIAP|À une catégorie de personnes déterminée|Aucune des réponses précédentes</t>
  </si>
  <si>
    <t>3. La main courante :|Est tenue par le chef du service de sécurité incendie|Est un document dans lequel doivent apparaître tous les événements liés à la sécurité|Doit être obligatoirement sur papier|Est un registre hebdomadaire des anomalies|Doit être remplie par un agent chargé de la sécurité et signée à chaque fin de service|Aucune des réponses précédentes</t>
  </si>
  <si>
    <t>4. Sur la main courante je note :|Les événements liés à la sécurité|La prise et la fin de service|Les interventions du personnel de sécurité|Les messages téléphoniques pour le personnel du service|Aucune des réponses précédentes</t>
  </si>
  <si>
    <t>[4.3] PCS</t>
  </si>
  <si>
    <t>1. Qui assure la permanence au poste de sécurité ?|L’agent de sécurité incendie SSIAP 1|Le chef d’équipe sécurité incendie SSIAP 2|Le directeur du site|Tout le personnel de l’établissement|Aucune des réponses précédentes</t>
  </si>
  <si>
    <t>2. Indiquer ce que l’on doit trouver au PCS :|Un coin repas|La vidéosurveillance|Les émetteurs récepteurs portatifs|Le SSI|Les clefs ou badges pour accéder à tous les locaux|Aucune des réponses précédentes</t>
  </si>
  <si>
    <t>3. Quels documents trouve-t-on obligatoirement au P.C Sécurité ?|Le registre des entrées et sorties du personnel|Les différents plans de l’établissement|Les consignes générales d’incendie|Les consignes particulières de sécurité|Les numéros d’appel d’urgence|Aucune des réponses précédentes</t>
  </si>
  <si>
    <t>[4.4] Ronde</t>
  </si>
  <si>
    <t>1. Quels sont les buts de la ronde de sécurité ?|Surveiller les points dangereux|Détecter les faits anormaux ou les dangers|Prévenir les occupants de la fermeture de l’établissement|Vérifier l’application des consignes de sécurité|Aucune des réponses précédentes</t>
  </si>
  <si>
    <t>2. Lors d’une ronde d’ouverture quelle est l’action primordiale à effectuer ?|Mettre en fonction l’éclairage de remplacement|Mettre en fonction l’éclairage de sécurité|S’assurer de la vacuité des dégagements|Contrôler la pression des R.I.A|Aucune des réponses précédentes</t>
  </si>
  <si>
    <t>3. Indiquer le ou les permis que l’on doit posséder pour effectuer des travaux de soudure :|Permis de soudure|Permis de travail|Permis de fouille|Permis de feu|Permis d’incendie|Aucune des réponses précédentes</t>
  </si>
  <si>
    <t>4. Dans quel cas doit-on rédiger un permis de feu dans un établissement recevant du public ?|Lors de l’utilisation d’un transpalette à gaz dans un local|À l’occasion de travaux par points chauds|À la mise en place d’une zone fumeur|Lors de la mise en fonction d’une chaudière à gaz|Aucune des réponses précédentes</t>
  </si>
  <si>
    <t>[4.5] Mise en œuvre</t>
  </si>
  <si>
    <t>1. Quels sont les modes d’action des agents extincteurs ?|L’étouffement|Le refroidissement|La conduction|L’inhibition|Le réchauffement|Aucune des réponses précédentes</t>
  </si>
  <si>
    <t>2. Quelles sont les opérations de surveillance à réaliser sur une installation de RIA ?|Vérifier l’absence d’eau dans le tuyau du RIA|Contrôler le bon fonctionnement du robinet d’arrêt manuel|S’assurer que le coffret dans lequel se trouve le RIA est fermé à clé|S’assurer que le RIA est en eau|Aucune des réponses précédentes</t>
  </si>
  <si>
    <t>3. Qui peut utiliser les RIA dans un ERP ou un IGH ?|Le chef d’établissement|Les agents SSIAP|Le personnel|Le public|Les pompiers|Aucune des réponses précédentes</t>
  </si>
  <si>
    <t>4. Parmi ces propositions, quel type d’extincteur doit-on utiliser en priorité sur un feu de tableau électrique ?|Extincteur à eau pulvérisée|Extincteur à CO2|Extincteur à poudre|Extincteur au halon|Aucune des réponses précédentes</t>
  </si>
  <si>
    <t>5. Pour utiliser un extincteur à pression permanente vous devez :|Le percuter|Le coucher|Le dégoupiller|Appuyer sur la poignée de diffusion|Vérifier que le diffuseur est bien en place|Aucune des réponses précédentes</t>
  </si>
  <si>
    <t>6. Le mode d’extinction d’un feu par étouffement consiste à :|Faire baisser la température|Se rapprocher très près des flammes|Disperser le combustible|Empêcher l’apport d’air|Aucune des réponses précédentes</t>
  </si>
  <si>
    <t>7. Quels sont les agents d’extinction contenus dans les extincteurs portatifs ?|L’eau|Le CO2|Le halon|L’azote|La poudre|Aucune des réponses précédentes</t>
  </si>
  <si>
    <t>8. Parmi ces propositions, quel type d’extincteur doit-on privilégier sur un feu de matelas ?|Extincteur à eau pulvérisée|Extincteur à poudre|Extincteur à CO2|Extincteur au halon|Aucune des réponses précédentes</t>
  </si>
  <si>
    <t>9. Un extincteur CO2 est un extincteur à pression :|Permanente|Auxiliaire|Variable|Atmosphérique|Aucune des réponses précédentes</t>
  </si>
  <si>
    <t>10. Pour éteindre un feu dans une armoire électrique, l’agent extincteur le plus efficace est :|L’eau|L’eau avec additif|Le carbone|L’azote|Le dioxyde de carbone|Le sable|Aucune des réponses précédentes</t>
  </si>
  <si>
    <t>11. Pour utiliser un extincteur à pression auxiliaire vous devez :|Le percuter|Le coucher|Le dégoupiller|Appuyer sur la poignée de diffusion|Vérifier que le diffuseur est bien en place|Aucune des réponses précédentes</t>
  </si>
  <si>
    <t>12. Combien existe-t-il de principes de fonctionnement des extincteurs portatifs ?|1 principe|2 principes|3 principes|4 principes|Aucune des réponses précédentes</t>
  </si>
  <si>
    <r>
      <t>13. Peut-on mettre en œuvre un extincteur à eau pulvérisée sur une armoire électrique de 380V ?|</t>
    </r>
    <r>
      <rPr>
        <sz val="10.5"/>
        <color theme="1"/>
        <rFont val="Arial"/>
        <family val="2"/>
      </rPr>
      <t>OUI|NON|Aucune des réponses précédentes</t>
    </r>
  </si>
  <si>
    <r>
      <t>14. Parmi ces propositions, quel type d’extincteur doit-on privilégier sur un feu de matelas ?|</t>
    </r>
    <r>
      <rPr>
        <sz val="10.5"/>
        <color theme="1"/>
        <rFont val="Arial"/>
        <family val="2"/>
      </rPr>
      <t>Extincteur à eau pulvérisée|Extincteur à poudre|Extincteur à CO2|Extincteur au halon</t>
    </r>
    <r>
      <rPr>
        <sz val="11"/>
        <color theme="1"/>
        <rFont val="Arial"/>
        <family val="2"/>
      </rPr>
      <t>|Aucune des réponses précédentes</t>
    </r>
  </si>
  <si>
    <t>[5.2] Mise en situation</t>
  </si>
  <si>
    <r>
      <t>1. Suite à une évacuation, vous constatez l’absence d’une personne. Que faites-vous ?|</t>
    </r>
    <r>
      <rPr>
        <sz val="10.5"/>
        <color theme="1"/>
        <rFont val="Arial"/>
        <family val="2"/>
      </rPr>
      <t>Je ne fais rien|Je préviens le commandant des opérations de secours|Je pars à sa recherche|J’attends son arrivée|Je préviens mon chef d’équipe|Aucune des réponses précédentes</t>
    </r>
  </si>
  <si>
    <r>
      <t>2. En cours de ronde vous sentez une odeur suspecte. Vous :|</t>
    </r>
    <r>
      <rPr>
        <sz val="10.5"/>
        <color theme="1"/>
        <rFont val="Arial"/>
        <family val="2"/>
      </rPr>
      <t>Effectuez la levée de doute|Poursuivez votre ronde|Prévenez votre PC Sécurité|Prévenez les pompiers|Aucune des réponses précédentes</t>
    </r>
  </si>
  <si>
    <r>
      <t>3. Lors d’une ronde, vous apercevez de la fumée s’échappant d’un local technique. Que faites-vous ?|</t>
    </r>
    <r>
      <rPr>
        <sz val="10.5"/>
        <color theme="1"/>
        <rFont val="Arial"/>
        <family val="2"/>
      </rPr>
      <t>Vous regagnez le poste de sécurité pour prévenir votre chef d’équipe|Vous vous approchez et ouvrez la porte pour connaître l’étendue du sinistre|Vous saisissez un moyen d’extinction et vous ouvrez prudemment le local|Vous contactez le poste de sécurité pour prévenir de la situation découverte|Aucune des réponses précédentes</t>
    </r>
  </si>
  <si>
    <r>
      <t>4. Lors d’une levée de doute que faites-vous en premier si vous constatez qu’il y a effectivement le feu dans le local ?|</t>
    </r>
    <r>
      <rPr>
        <sz val="10.5"/>
        <color theme="1"/>
        <rFont val="Arial"/>
        <family val="2"/>
      </rPr>
      <t>J’entre en me protégeant|Je confirme l’alarme|J’arrose la porte|Je commence l’extinction|Aucune des réponses précédentes</t>
    </r>
  </si>
  <si>
    <r>
      <t>5. En cours de ronde vous découvrez un début d’incendie dans le local T.G.B.T. Que faites-vous ?|</t>
    </r>
    <r>
      <rPr>
        <sz val="10.5"/>
        <color theme="1"/>
        <rFont val="Arial"/>
        <family val="2"/>
      </rPr>
      <t>Je vais au PC sécurité attendre les secours|J’informe le PC sécurité par radio|Je vais accueillir les secours publics à l’accès pompier|Je tente l’extinction en prenant les précautions d’usage|Je rassemble le personnel pour leur demander des renforts|Aucune des réponses précédentes</t>
    </r>
  </si>
  <si>
    <r>
      <t>6. Lors d’une ronde, vous découvrez un début d’incendie dans un local. Que faites-vous en premier ?|</t>
    </r>
    <r>
      <rPr>
        <sz val="10.5"/>
        <color theme="1"/>
        <rFont val="Arial"/>
        <family val="2"/>
      </rPr>
      <t>J’ouvre la porte sans prendre de précautions particulières|Je préviens le P.C.S|Je préviens les pompiers|Je préviens mon chef de service de sécurité|Je fais évacuer l’établissement par précaution|Aucune des réponses précédentes</t>
    </r>
  </si>
  <si>
    <r>
      <t>7. Lors d’une ronde, on soupçonne un début d’incendie dans un local. Que faites-vous ?|</t>
    </r>
    <r>
      <rPr>
        <sz val="10.5"/>
        <color theme="1"/>
        <rFont val="Arial"/>
        <family val="2"/>
      </rPr>
      <t>J’ouvre la porte sans prendre de précautions particulières|Je ne mène aucune action car c’est dangereux|Je préviens seulement les pompiers|Je préviens seulement le chef du service de sécurité|Je fais évacuer l’établissement par précaution|Aucune des réponses précédentes</t>
    </r>
  </si>
  <si>
    <t>[XX] Autre (?)</t>
  </si>
  <si>
    <t>1. Dans les IGH comment est assurée la communication entre deux compartiments sur un même niveau ?|Par un dispositif d'ouverture asservi à la D.A.I|Par un dispositif d'ouverture automatique|Par un dispositif d'intercommunication mis en surpression|Par un dispositif de contrôle d'accès|Aucune des réponses précédentes</t>
  </si>
  <si>
    <t>2. La stabilité au feu d'un I.G.H est, au minimum de:|1 heure|2 heures|4 heures|6 heures|Aucune des réponses précédentes</t>
  </si>
  <si>
    <t>3. Quel est le règlement de sécurité incendie applicable aux I.G.H ?|L'arrêté du 08 mai 1968 modifié|L'arrêté du 19 octobre 1955 modifié|L'arrêté du 25 juin 1980 modifié|L'arrêté du 06 octobre 1962 modifié|L'arrêté du 30 décembre 2011|Aucune des réponses précédentes</t>
  </si>
  <si>
    <t>4. Quels sont les différents types d'éclairage susceptibles d'exister dans un E.R.P|Eclairage normal|Eclairage de confort|Eclairage de remplacement|Eclairage de sécurité|Aucune des réponses précédentes</t>
  </si>
  <si>
    <t>5. Font partie des moyens de secours (au sens des articles MS):|Les extincteurs|Le SSI|Les poteaux d'incendie.|Le désenfumage|L'éclairage de sécurité|Aucune des réponses précédentes</t>
  </si>
  <si>
    <t>6. Qui peut utiliser les RIA dans un ERP ou un IGH ?|Le chef d'établissement|Les agents SSIAP|Le personnel|Le public|Les pompiers|Aucune des réponses précédentes</t>
  </si>
  <si>
    <r>
      <t>7. Parmi ces propositions, indiquer les missions du service de sécurité incendie.|</t>
    </r>
    <r>
      <rPr>
        <sz val="10.5"/>
        <color theme="1"/>
        <rFont val="Arial"/>
        <family val="2"/>
      </rPr>
      <t>Assurer la vacuité des cheminements d'évacuation jusqu'à la voie publique|Surveiller l'entretien des espaces verts|Faire appliquer les consignes en cas d'intrusion|Tenir à jour le registre de sécurité|Aucune des réponses précédentes</t>
    </r>
  </si>
  <si>
    <r>
      <t>8. Quels sont les modes de propagation d'un incendie ?|</t>
    </r>
    <r>
      <rPr>
        <sz val="10.5"/>
        <color theme="1"/>
        <rFont val="Arial"/>
        <family val="2"/>
      </rPr>
      <t>Le rayonnement|Les projections|La conviction|La conduction|La fragmentation|La convection|Aucune des réponses précédentes</t>
    </r>
  </si>
  <si>
    <r>
      <t>10. Outre la toxicité, les fumées sont susceptibles de provoquer :|</t>
    </r>
    <r>
      <rPr>
        <sz val="10.5"/>
        <color theme="1"/>
        <rFont val="Arial"/>
        <family val="2"/>
      </rPr>
      <t>L'étouffement du feu|Un effet de panique pour les personnes|Une diminution de la visibilité pour les personnes en cas d'évacuation|Aucune réponse précédente</t>
    </r>
  </si>
  <si>
    <r>
      <t>11. Un exutoire de fumée est:|</t>
    </r>
    <r>
      <rPr>
        <sz val="10.5"/>
        <color theme="1"/>
        <rFont val="Arial"/>
        <family val="2"/>
      </rPr>
      <t>Un volume fermé servant au passage d'un fluide déterminé|Un volume situé en sous face d'un plancher haut|Un dispositif d'évacuation des fumées situé en toiture|Un dispositif d'évacuation des fumées situé en façade|Aucune des réponses précédentes</t>
    </r>
  </si>
  <si>
    <r>
      <t>12. Un espace libre est un espace permettant:|</t>
    </r>
    <r>
      <rPr>
        <sz val="10.5"/>
        <color theme="1"/>
        <rFont val="Arial"/>
        <family val="2"/>
      </rPr>
      <t>Aux véhicules du public de stationner librement|Au public d'accéder librement à l'ERP|Aux pompiers d'accéder à l'établissement|Aux véhicules de livraisons de stationner librement.|Aucune des réponses précédentes</t>
    </r>
  </si>
  <si>
    <r>
      <t>13. Les ERP sont classés par catégorie en fonction:|</t>
    </r>
    <r>
      <rPr>
        <sz val="10.5"/>
        <color theme="1"/>
        <rFont val="Arial"/>
        <family val="2"/>
      </rPr>
      <t>Du nombre maximum de personnes admises|Du nombre d'étages|Du nombre de locaux|Du nombre de sorties|Aucune des réponses précédentes</t>
    </r>
  </si>
  <si>
    <r>
      <t>14. Quel est le principe fondamental de sécurité en IGH ?|</t>
    </r>
    <r>
      <rPr>
        <sz val="10.5"/>
        <color theme="1"/>
        <rFont val="Arial"/>
        <family val="2"/>
      </rPr>
      <t>L'évacuation générale|Le désenfumage|L'extinction automatique|Le compartimentage|Aucune des réponses précédentes</t>
    </r>
  </si>
  <si>
    <r>
      <t>15. Combien de solutions de désenfumage sont expliquées dans le règlement de sécurité relatif aux IGH ?|</t>
    </r>
    <r>
      <rPr>
        <sz val="10.5"/>
        <color theme="1"/>
        <rFont val="Arial"/>
        <family val="2"/>
      </rPr>
      <t>1 solution|2 solutions|4 solutions|5 solutions|Aucune des réponses précédentes</t>
    </r>
  </si>
  <si>
    <r>
      <t>16. Quel est le rôle d'une Installation Fixe d'Extinction Automatique à Gaz?|</t>
    </r>
    <r>
      <rPr>
        <sz val="10.5"/>
        <color theme="1"/>
        <rFont val="Arial"/>
        <family val="2"/>
      </rPr>
      <t>Extraire les fumées|Éteindre un incendie à un stade précoce de son développement|Maintenir une concentration d'agent extincteur pour éviter une réinflammation|Évacuer au plus vite l'agent extincteur|Protéger des locaux|Aucune des réponses</t>
    </r>
  </si>
  <si>
    <r>
      <t>17. Dans quelles catégories de S.S.I trouve-t-on un C.M.S.I ?|</t>
    </r>
    <r>
      <rPr>
        <sz val="10.5"/>
        <color theme="1"/>
        <rFont val="Arial"/>
        <family val="2"/>
      </rPr>
      <t>Catégorie A|Catégorie B|Catégorie C|Catégorie D|Catégorie E|Aucune des réponses précédentes</t>
    </r>
  </si>
  <si>
    <r>
      <t>18. Indiquer ce que l'on doit inscrire sur la main courante ?|</t>
    </r>
    <r>
      <rPr>
        <sz val="10.5"/>
        <color theme="1"/>
        <rFont val="Arial"/>
        <family val="2"/>
      </rPr>
      <t>Les alarmes feu|Le nom des agents de sécurité incendie présents|Les départs et retours de ronde|L'heure d'arrivée et de départ du chef d'établissement|La prise et la fin de service|Aucune des réponses précédentes</t>
    </r>
  </si>
  <si>
    <r>
      <t>19. Les secours étant en route, vous constatez que la voie engin est occupée par un véhicule en panne. Que faites-vous en premier ?|</t>
    </r>
    <r>
      <rPr>
        <sz val="10.5"/>
        <color theme="1"/>
        <rFont val="Arial"/>
        <family val="2"/>
      </rPr>
      <t>Je pars à la recherche du propriétaire|J'informe le P.C Sécurité|Je cherche du renfort pour tenter de pousser le véhicule|Je ne fais rien|J'appelle la police|Aucune des réponses précédentes</t>
    </r>
  </si>
  <si>
    <r>
      <t>20. Dans quel cas doit-on rédiger un permis de feu dans un établissement recevant du public ?|</t>
    </r>
    <r>
      <rPr>
        <sz val="10.5"/>
        <color theme="1"/>
        <rFont val="Arial"/>
        <family val="2"/>
      </rPr>
      <t>Lors de l'utilisation d'un transpalette à gaz dans un local|A l'occasion de travaux par points chauds|A la mise en place d'une zone fumeur|Lors de la mise en fonction d'une chaudière gaz|Aucune des réponses précédentes</t>
    </r>
  </si>
  <si>
    <r>
      <t>21. Un poste central de sécurité est obligatoire en IGH ?|</t>
    </r>
    <r>
      <rPr>
        <sz val="10.5"/>
        <color theme="1"/>
        <rFont val="Arial"/>
        <family val="2"/>
      </rPr>
      <t>En fonction de l'activité principale|Dans tous les cas|Suivant l'avis de la commission de sécurité compétente|Suivant la volonté de l'exploitant|Aucune des réponses précédentes</t>
    </r>
  </si>
  <si>
    <r>
      <t>22. Où sont implantées les colonnes sèches dans un I.G.H ?|</t>
    </r>
    <r>
      <rPr>
        <sz val="10.5"/>
        <color theme="1"/>
        <rFont val="Arial"/>
        <family val="2"/>
      </rPr>
      <t>Dans les locaux communs|Dans les circulations horizontales communes|Dans les escaliers de secours|Dans les dispositifs d'intercommunication desservant les escaliers|Aucune des réponses précédentes</t>
    </r>
  </si>
  <si>
    <r>
      <t>23. Quel est le rôle d'une Installation Fixe d'Extinction Automatique à Gaz ?|</t>
    </r>
    <r>
      <rPr>
        <sz val="10.5"/>
        <color theme="1"/>
        <rFont val="Arial"/>
        <family val="2"/>
      </rPr>
      <t>Extraire les fumées|Éteindre un incendie à un stade précoce de son développement|Maintenir une concentration d'agent extincteur pour éviter une ré inflammation|Évacuer au plus vite l'agent extincteur|Protéger des locaux|Aucune des réponses</t>
    </r>
  </si>
  <si>
    <r>
      <t>24. Quelle est la distance d'attaque d'un extincteur portatif à CO² de 2 kilos ?|</t>
    </r>
    <r>
      <rPr>
        <sz val="10.5"/>
        <color theme="1"/>
        <rFont val="Arial"/>
        <family val="2"/>
      </rPr>
      <t>Un mètre environ.|2 à 3 mètres|3 à 4 mètres.|5 à 6 mètres.|Plus de 6 mètres.|Aucune des réponses précédentes</t>
    </r>
  </si>
  <si>
    <r>
      <t>25. Quels sont les dangers des fumées ?|</t>
    </r>
    <r>
      <rPr>
        <sz val="10.5"/>
        <color theme="1"/>
        <rFont val="Arial"/>
        <family val="2"/>
      </rPr>
      <t>Elles engendrent des intoxications|Elles favorisent le phénomène de panique|Elles désorientent les personnes par manque de visibilité|Elles provoquent l'effondrement du bâtiment|Aucune des réponses précédentes</t>
    </r>
  </si>
  <si>
    <r>
      <t>26. Les dispositifs de coupure d'urgence électrique doivent :|</t>
    </r>
    <r>
      <rPr>
        <sz val="10.5"/>
        <color theme="1"/>
        <rFont val="Arial"/>
        <family val="2"/>
      </rPr>
      <t>Être inaccessibles au public|Être accessibles au public|Faciles à atteindre par les services de secours|Inaccessibles et autopilotés|Aucune des réponses précédentes</t>
    </r>
  </si>
  <si>
    <r>
      <t>28. Quel est le rôle de l'UGA ?|</t>
    </r>
    <r>
      <rPr>
        <sz val="10.5"/>
        <color theme="1"/>
        <rFont val="Arial"/>
        <family val="2"/>
      </rPr>
      <t>De donner des indications sur la position des DAS|De commander les DAS|De gérer le processus d'alarme|De réarmer le SSI|Aucune des réponses</t>
    </r>
  </si>
  <si>
    <r>
      <t>29. Un voyant rouge fixe sur l'US (unité de signalisation) indique ?|</t>
    </r>
    <r>
      <rPr>
        <sz val="10.5"/>
        <color theme="1"/>
        <rFont val="Arial"/>
        <family val="2"/>
      </rPr>
      <t>Un défaut de ligne|Une sensibilisation d'un D.A.Ι|Une zone en maintenance technique|Une zone mise hors service.|Tous les DAS sont en position de sécurité|Aucune des réponses précédentes</t>
    </r>
  </si>
  <si>
    <r>
      <t>30. Le plan schématique destiné à faciliter l'intervention des secours extérieurs doit au minimum se trouver :|</t>
    </r>
    <r>
      <rPr>
        <sz val="10.5"/>
        <color theme="1"/>
        <rFont val="Arial"/>
        <family val="2"/>
      </rPr>
      <t>Dans le bureau du chef d'établissement|A chaque entrée du bâtiment|Au PC sécurité|A l'accueil|Dans chaque local|Aucune des réponses précédentes</t>
    </r>
  </si>
  <si>
    <r>
      <t>27. Quelle est la différence essentielle entre un S.S.I de catégorie A et un S.S.I de catégorie B ?|</t>
    </r>
    <r>
      <rPr>
        <sz val="10.5"/>
        <color theme="1"/>
        <rFont val="Arial"/>
        <family val="2"/>
      </rPr>
      <t>Le centralisateur de mise en sécurité incendie|Les dispositifs actionnés de sécurité|Le système de détection d'incendie|L'équipement de sécurité incendie</t>
    </r>
    <r>
      <rPr>
        <sz val="11"/>
        <color theme="1"/>
        <rFont val="Arial"/>
        <family val="2"/>
      </rPr>
      <t>|Aucune des réponses précédentes</t>
    </r>
  </si>
  <si>
    <t>9. Pour qu'un feu soit inhibé, il faut ?|Disperser le combustible|Refroidir le combustible|Arroser les flammes|Utiliser un RIA|Aucune des réponses précédentes</t>
  </si>
  <si>
    <t>Quels sont les principes généraux de sécurité en ERP ?</t>
  </si>
  <si>
    <t>Assurer uniquement la sauvegarde des biens</t>
  </si>
  <si>
    <t>Permettre une évacuation rapide et sûre des occupants</t>
  </si>
  <si>
    <t>Gérer le sinistre à la place des secours extérieurs</t>
  </si>
  <si>
    <t>Limiter la propagation du feu</t>
  </si>
  <si>
    <t>Faciliter l’intervention des secours</t>
  </si>
  <si>
    <t>En règle générale, un ERP est considéré comme isolé s’il est situé à une distance minimum de :</t>
  </si>
  <si>
    <t>1 mètre du tiers</t>
  </si>
  <si>
    <t>2 mètres du tiers</t>
  </si>
  <si>
    <t>3 mètres du tiers</t>
  </si>
  <si>
    <t>8 mètres du tiers</t>
  </si>
  <si>
    <t>Quelle est l’utilité des baies accessibles ?</t>
  </si>
  <si>
    <t>Elles permettent l’intervention des équipes de sécurité</t>
  </si>
  <si>
    <t>Elles permettent l’intervention des services de secours</t>
  </si>
  <si>
    <t>Elles permettent l’évacuation normale du public</t>
  </si>
  <si>
    <t>Elles facilitent le nettoyage</t>
  </si>
  <si>
    <t>Elles permettent la ventilation</t>
  </si>
  <si>
    <t>Un espace libre est un espace permettant :</t>
  </si>
  <si>
    <t>Aux véhicules du public de stationner librement</t>
  </si>
  <si>
    <t>Au public d’accéder librement à l’ERP</t>
  </si>
  <si>
    <t>Aux pompiers d’accéder à l’établissement</t>
  </si>
  <si>
    <t>Aux véhicules de livraisons de stationner librement</t>
  </si>
  <si>
    <t>Quelles sont les différentes conceptions de distribution intérieure des locaux dans les E.R.P ?</t>
  </si>
  <si>
    <t>Cloisonnement traditionnel</t>
  </si>
  <si>
    <t>Cloisonnement moderne</t>
  </si>
  <si>
    <t>Compartiment</t>
  </si>
  <si>
    <t>Secteurs</t>
  </si>
  <si>
    <t>En E.R.P, les locaux sont répartis en locaux à risques :</t>
  </si>
  <si>
    <t>Normaux</t>
  </si>
  <si>
    <t>Courants</t>
  </si>
  <si>
    <t>Moyens</t>
  </si>
  <si>
    <t>Importants</t>
  </si>
  <si>
    <t>Dangereux</t>
  </si>
  <si>
    <t>En E.R.P. un local poubelle est un local classé :</t>
  </si>
  <si>
    <t>À risques courants</t>
  </si>
  <si>
    <t>À risques faibles</t>
  </si>
  <si>
    <t>À risques particuliers</t>
  </si>
  <si>
    <t>À risques ciblés</t>
  </si>
  <si>
    <t>Sur une porte coupe-feu que puis-je trouver comme indication :</t>
  </si>
  <si>
    <t>Porte coupe-feu à ouverture automatique</t>
  </si>
  <si>
    <t>Porte coupe-feu à maintenir ouverte</t>
  </si>
  <si>
    <t>Porte coupe-feu à maintenir fermée</t>
  </si>
  <si>
    <t>Porte coupe-feu - Ne mettez pas d’obstacle à la fermeture</t>
  </si>
  <si>
    <t>On trouve des dégagements :</t>
  </si>
  <si>
    <t>Élémentaires</t>
  </si>
  <si>
    <t>Accessoires</t>
  </si>
  <si>
    <t>Supplémentaires</t>
  </si>
  <si>
    <t>Complémentaires</t>
  </si>
  <si>
    <t>Sédentaires</t>
  </si>
  <si>
    <t>Un escalier encloisonné est un escalier :</t>
  </si>
  <si>
    <t>Protégé</t>
  </si>
  <si>
    <t>À l’air libre</t>
  </si>
  <si>
    <t>Mis à l’abri des fumées</t>
  </si>
  <si>
    <t>Désenfumé</t>
  </si>
  <si>
    <t>Monumental</t>
  </si>
  <si>
    <t>Quelle est la largeur d’une circulation de deux Unités de Passage (UP) ?</t>
  </si>
  <si>
    <t>0,6 m</t>
  </si>
  <si>
    <t>0,9 m</t>
  </si>
  <si>
    <t>1,20 m</t>
  </si>
  <si>
    <t>1,40 m</t>
  </si>
  <si>
    <t>1,80 m</t>
  </si>
  <si>
    <t>Quelle est la largeur type de l’Unité de Passage (UP) ?</t>
  </si>
  <si>
    <t>Quelle est la largeur d’une circulation d’une Unité de Passage (UP) ?</t>
  </si>
  <si>
    <t>Un dégagement peut être :</t>
  </si>
  <si>
    <t>Une porte</t>
  </si>
  <si>
    <t>Un escalier</t>
  </si>
  <si>
    <t>Une sortie</t>
  </si>
  <si>
    <t>Une circulation horizontale</t>
  </si>
  <si>
    <t>Le désenfumage a pour but de :</t>
  </si>
  <si>
    <t>Faciliter l’évacuation du public</t>
  </si>
  <si>
    <t>Faciliter l’interdiction de fumer</t>
  </si>
  <si>
    <t>Refroidir les locaux</t>
  </si>
  <si>
    <t>Un clapet coupe-feu est :</t>
  </si>
  <si>
    <t>Un volume fermé servant au passage d’un fluide déterminé</t>
  </si>
  <si>
    <t>Un volume fermé généralement accessible et renfermant un ou plusieurs conduits</t>
  </si>
  <si>
    <t>Un dispositif actionné de sécurité destiné au compartimentage</t>
  </si>
  <si>
    <t>Un dispositif d’évacuation des fumées situé en toiture</t>
  </si>
  <si>
    <t>Un conduit est :</t>
  </si>
  <si>
    <t>Un dispositif d’évacuation des fumées situé en façade</t>
  </si>
  <si>
    <t>Un dispositif d’accès mobile fermé en position normale</t>
  </si>
  <si>
    <t>Une gaine est :</t>
  </si>
  <si>
    <t>En E.R.P., qui peut actionner l’ouverture de l’exutoire de désenfumage d’un escalier protégé ?</t>
  </si>
  <si>
    <t>Le chef d’établissement</t>
  </si>
  <si>
    <t>Le SSIAP 1</t>
  </si>
  <si>
    <t>Le SSIAP 2</t>
  </si>
  <si>
    <t>Les services de secours</t>
  </si>
  <si>
    <t>Un témoin</t>
  </si>
  <si>
    <t>Les méthodes de désenfumage d’un ERP peuvent-être :</t>
  </si>
  <si>
    <t>Naturel/naturel</t>
  </si>
  <si>
    <t>Mécanique/dynamique</t>
  </si>
  <si>
    <t>Naturel/mécanique</t>
  </si>
  <si>
    <t>Naturel/statique</t>
  </si>
  <si>
    <t>Mécanique/mécanique</t>
  </si>
  <si>
    <t>En ERP, où peut-on trouver le dispositif de commande manuelle du désenfumage naturel d’un escalier encloisonné ?</t>
  </si>
  <si>
    <t>Au P.C. Sécurité</t>
  </si>
  <si>
    <t>En bas de l’escalier</t>
  </si>
  <si>
    <t>Dans les circulations horizontales communes</t>
  </si>
  <si>
    <t>À tous les niveaux</t>
  </si>
  <si>
    <t>L’éclairage de sécurité comprend l’éclairage :</t>
  </si>
  <si>
    <t>D’évacuation</t>
  </si>
  <si>
    <t>Normal</t>
  </si>
  <si>
    <t>De remplacement</t>
  </si>
  <si>
    <t>Anti-panique</t>
  </si>
  <si>
    <t>D’incendie</t>
  </si>
  <si>
    <t>Public</t>
  </si>
  <si>
    <t>Dans un ERP, quelle doit être la durée minimum de fonctionnement d’un B.A.E.S. ?</t>
  </si>
  <si>
    <t>30 minutes</t>
  </si>
  <si>
    <t>1 heure</t>
  </si>
  <si>
    <t>2 heures</t>
  </si>
  <si>
    <t>En fonction de la catégorie de l’E.R.P.</t>
  </si>
  <si>
    <t>En fonction du type d’E.R.P.</t>
  </si>
  <si>
    <t>Que signifie le terme "B.A.E.S." ?</t>
  </si>
  <si>
    <t>Un bloc autonome d’éclairage de sécurité</t>
  </si>
  <si>
    <t>Un bloc d’alarme et de secours</t>
  </si>
  <si>
    <t>Un boîtier autonome d’éclairage de secours</t>
  </si>
  <si>
    <t>Une borne d’appel entre les services</t>
  </si>
  <si>
    <t>Un boîtier d’alimentation électrique de sécurité</t>
  </si>
  <si>
    <t>Que comprend l’éclairage de sécurité ?</t>
  </si>
  <si>
    <t>L’éclairage de remplacement et l’éclairage normal</t>
  </si>
  <si>
    <t>L’éclairage de sécurité et l’éclairage d’ambiance</t>
  </si>
  <si>
    <t>L’éclairage d’évacuation et l’éclairage de remplacement</t>
  </si>
  <si>
    <t>L’éclairage d’ambiance et d’anti-panique</t>
  </si>
  <si>
    <t>L’éclairage d’évacuation et l’éclairage d’ambiance ou d’anti-panique</t>
  </si>
  <si>
    <t>Pour un B.A.E.S équipé du système SATI, un voyant jaune signifie :</t>
  </si>
  <si>
    <t>Bloc en bon état</t>
  </si>
  <si>
    <t>Défaut</t>
  </si>
  <si>
    <t>En cours de charge</t>
  </si>
  <si>
    <t>Défaut de position d’attente</t>
  </si>
  <si>
    <t>En règle générale, dans un IGH, un compartiment doit comporter au moins :</t>
  </si>
  <si>
    <t>1 escalier protégé</t>
  </si>
  <si>
    <t>2 escaliers protégés</t>
  </si>
  <si>
    <t>3 escaliers protégés</t>
  </si>
  <si>
    <t>Le nombre d’escalier dépend de la commission de sécurité compétente</t>
  </si>
  <si>
    <t>Autant d’escaliers que d’ascenseurs</t>
  </si>
  <si>
    <t>Quelle doit être, en I.G.H, l’autonomie d’un groupe moteur thermique générateur ?</t>
  </si>
  <si>
    <t>6 heures</t>
  </si>
  <si>
    <t>12 heures</t>
  </si>
  <si>
    <t>24 heures</t>
  </si>
  <si>
    <t>36 heures</t>
  </si>
  <si>
    <t>Pendant toute la durée de la coupure</t>
  </si>
  <si>
    <t>En IGH, chaque compartiment doit avoir un degré d’isolement :</t>
  </si>
  <si>
    <t>Pare-flammes 2h00 ou RE 120</t>
  </si>
  <si>
    <t>Coupe-feu 1h00 ou REI 60</t>
  </si>
  <si>
    <t>Pare-flammes 1h00 ou RE 60</t>
  </si>
  <si>
    <t>Coupe-feu 2h00 ou REI 120</t>
  </si>
  <si>
    <t>Un compartiment en IGH doit respecter les caractéristiques suivantes :</t>
  </si>
  <si>
    <t>Longueur 75 m maxi</t>
  </si>
  <si>
    <t>Longueur 60 m maxi</t>
  </si>
  <si>
    <t>Surface 2500 m² maxi</t>
  </si>
  <si>
    <t>Surface 2000 m² maxi</t>
  </si>
  <si>
    <t>En IGH, des fumées envahissent tout un compartiment. Dans un premier temps, vous devez faire évacuer :</t>
  </si>
  <si>
    <t>L’ensemble de l’IGH</t>
  </si>
  <si>
    <t>Uniquement le compartiment sinistré</t>
  </si>
  <si>
    <t>Le compartiment sinistré et l’étage supérieur</t>
  </si>
  <si>
    <t>Le compartiment sinistré, le niveau supérieur et les 2 niveaux inférieurs</t>
  </si>
  <si>
    <t>Un feu se déclare dans une circulation horizontale commune d’un IGH, quelles sont les mises en sécurité automatiques qui se déclenchent ?</t>
  </si>
  <si>
    <t>Le démarrage du groupe électrogène</t>
  </si>
  <si>
    <t>Le désenfumage</t>
  </si>
  <si>
    <t>Le rappel des ascenseurs prioritaires</t>
  </si>
  <si>
    <t>Le compartimentage</t>
  </si>
  <si>
    <t>Le non arrêt des ascenseurs</t>
  </si>
  <si>
    <t>Quelle est la distance du volume de protection autour d’un IGH ?</t>
  </si>
  <si>
    <t>5 mètres</t>
  </si>
  <si>
    <t>8 mètres</t>
  </si>
  <si>
    <t>10 mètres</t>
  </si>
  <si>
    <t>Cela dépend de la hauteur de l’immeuble</t>
  </si>
  <si>
    <t>En IGH quelle doit-être la pression minimale d’un robinet d’incendie armé (RIA) ?</t>
  </si>
  <si>
    <t>2,5 bars au RIA le plus défavorisé</t>
  </si>
  <si>
    <t>2,5 bars au RIA le plus favorisé</t>
  </si>
  <si>
    <t>4 bars au RIA le plus favorisé</t>
  </si>
  <si>
    <t>4 bars au RIA le plus défavorisé</t>
  </si>
  <si>
    <t>Combien d’appareils émetteurs-récepteurs radio, le service de sécurité incendie d’un IGH doit-il pouvoir mettre à disposition des pompiers ?</t>
  </si>
  <si>
    <t>Deux</t>
  </si>
  <si>
    <t>Quatre</t>
  </si>
  <si>
    <t>Six</t>
  </si>
  <si>
    <t>Aucun</t>
  </si>
  <si>
    <t>Quelle inscription peut-on lire sur les portes des dispositifs d’intercommunication desservant les escaliers des IGH ?</t>
  </si>
  <si>
    <t>Porte coupe-feu à fermeture automatique</t>
  </si>
  <si>
    <t>Porte coupe-feu</t>
  </si>
  <si>
    <t>Quel est le moyen d’alerte externe en G.H.U. ?</t>
  </si>
  <si>
    <t>Un téléphone portable</t>
  </si>
  <si>
    <t>Un téléphone urbain</t>
  </si>
  <si>
    <t>Une ligne directe</t>
  </si>
  <si>
    <t>Un poste portatif</t>
  </si>
  <si>
    <t>En I.G.H, où trouve-t-on le dispositif de commande de désenfumage de secours des escaliers ?</t>
  </si>
  <si>
    <t>Près des moteurs de désenfumage</t>
  </si>
  <si>
    <t>Au P.C.S.</t>
  </si>
  <si>
    <t>Il n’y en a pas</t>
  </si>
  <si>
    <t>En IGH, la sensibilisation d’un D.A.I. dans une circulation horizontale commune entraîne :</t>
  </si>
  <si>
    <t>L’évacuation du compartiment sinistré et des compartiments adjacents</t>
  </si>
  <si>
    <t>L’évacuation générale du bâtiment</t>
  </si>
  <si>
    <t>L’évacuation du compartiment sinistré</t>
  </si>
  <si>
    <t>Uniquement l’alarme restreinte au P.C.S.</t>
  </si>
  <si>
    <t>Dans les IGH comment est assurée la communication entre un compartiment et un escalier ?</t>
  </si>
  <si>
    <t>Par un dispositif d’ouverture asservi à la D.A.I.</t>
  </si>
  <si>
    <t>Par un dispositif d’ouverture automatique</t>
  </si>
  <si>
    <t>Par un dispositif d’intercommunication</t>
  </si>
  <si>
    <t>Par un dispositif de contrôle d’accès</t>
  </si>
  <si>
    <t>Dans le dispositif d’intercommunication avec l’escalier et le compartiment IGH, le plan du niveau doit comporter l’emplacement :</t>
  </si>
  <si>
    <t>Des ouvrants de désenfumage et de leurs commandes</t>
  </si>
  <si>
    <t>Des moyens de secours</t>
  </si>
  <si>
    <t>Des vannes d’arrêt et du téléphone d’alerte</t>
  </si>
  <si>
    <t>Des distributeurs de boissons</t>
  </si>
  <si>
    <t>Du bureau d’accueil et du téléphone urbain</t>
  </si>
  <si>
    <t>Dans un I.G.H, l’alerte extérieure consiste à :</t>
  </si>
  <si>
    <t>Demander l’intervention du service de sécurité</t>
  </si>
  <si>
    <t>Demander l’intervention des services publics de secours</t>
  </si>
  <si>
    <t>Attirer l’attention de sa hiérarchie</t>
  </si>
  <si>
    <t>Prévenir les occupants d’un compartiment d’évacuer</t>
  </si>
  <si>
    <t>Quel gaz est contenu dans la cartouche d’un extincteur à pression auxiliaire ?</t>
  </si>
  <si>
    <t>De l’oxygène</t>
  </si>
  <si>
    <t>Du protoxyde d’azote</t>
  </si>
  <si>
    <t>Du dioxyde de carbone</t>
  </si>
  <si>
    <t>Du monoxyde de carbone</t>
  </si>
  <si>
    <t>Du butane</t>
  </si>
  <si>
    <t>De l’air comprimé</t>
  </si>
  <si>
    <t>En IGH, où sont placés les dispositifs phoniques permettant de donner l’alerte intérieure au PCS ?</t>
  </si>
  <si>
    <t>Dans les circulations privatives</t>
  </si>
  <si>
    <t>Dans les locaux à risques</t>
  </si>
  <si>
    <t>Dans les locaux privatifs</t>
  </si>
  <si>
    <t>Dans les combles</t>
  </si>
  <si>
    <t>En E.R.P quelle doit-être la pression minimale d’un robinet d’incendie armé (RIA) ?</t>
  </si>
  <si>
    <t>1 bar</t>
  </si>
  <si>
    <t>3 bars</t>
  </si>
  <si>
    <t>En règle générale, en IGH, quelle doit être la capacité minimale pour assurer l’alimentation des colonnes en charge ?</t>
  </si>
  <si>
    <t>60 m³</t>
  </si>
  <si>
    <t>90 m³</t>
  </si>
  <si>
    <t>100 m³</t>
  </si>
  <si>
    <t>120 m³</t>
  </si>
  <si>
    <t>200 m³</t>
  </si>
  <si>
    <t>Font partie des moyens d’extinction :</t>
  </si>
  <si>
    <t>Les extincteurs</t>
  </si>
  <si>
    <t>Le S.S.I</t>
  </si>
  <si>
    <t>Les poteaux d’incendie</t>
  </si>
  <si>
    <t>L’éclairage de sécurité</t>
  </si>
  <si>
    <t>Quelle est la fréquence réglementaire de vérification des extincteurs ?</t>
  </si>
  <si>
    <t>Trimestrielle</t>
  </si>
  <si>
    <t>Semestrielle</t>
  </si>
  <si>
    <t>Annuelle</t>
  </si>
  <si>
    <t>Biennale</t>
  </si>
  <si>
    <t>Quinquennale</t>
  </si>
  <si>
    <t>Qui peut utiliser une colonne sèche en ERP et en IGH ?</t>
  </si>
  <si>
    <t>Les agents SSIAP</t>
  </si>
  <si>
    <t>Le personnel</t>
  </si>
  <si>
    <t>Le public</t>
  </si>
  <si>
    <t>Les pompiers</t>
  </si>
  <si>
    <t>À quelle distance doit se trouver le raccord d’alimentation d’une colonne sèche ?</t>
  </si>
  <si>
    <t>20 m d’un véhicule d’incendie et de secours</t>
  </si>
  <si>
    <t>60 m maxi de l’entrée de l’établissement</t>
  </si>
  <si>
    <t>60 m maxi d’un poteau d’incendie</t>
  </si>
  <si>
    <t>100 m maxi d’un poteau d’incendie</t>
  </si>
  <si>
    <t>Quels sont les éléments qui composent obligatoirement un R.I.A ?</t>
  </si>
  <si>
    <t>Un robinet d’arrêt</t>
  </si>
  <si>
    <t>Une hache</t>
  </si>
  <si>
    <t>Un tuyau semi-rigide</t>
  </si>
  <si>
    <t>Un tuyau souple</t>
  </si>
  <si>
    <t>Combien de colonnes sèches doit-il y avoir en IGH ?</t>
  </si>
  <si>
    <t>Une par escalier</t>
  </si>
  <si>
    <t>Une par compartiment</t>
  </si>
  <si>
    <t>Par façade accessible</t>
  </si>
  <si>
    <t>Un nombre défini par la commission de sécurité compétente</t>
  </si>
  <si>
    <t>À partir de quelle hauteur un I.G.H doit-il être équipé de colonnes humides ?</t>
  </si>
  <si>
    <t>Plus de 18 mètres</t>
  </si>
  <si>
    <t>Plus de 28 mètres</t>
  </si>
  <si>
    <t>Plus de 50 mètres</t>
  </si>
  <si>
    <t>Tout le temps</t>
  </si>
  <si>
    <t>Suivant décision de la C.C.D.S.A</t>
  </si>
  <si>
    <t>Que signifie le terme R.I.A ?</t>
  </si>
  <si>
    <t>Réserve d’Incendie Auxiliaire</t>
  </si>
  <si>
    <t>Robinet d’Intervention Armé</t>
  </si>
  <si>
    <t>Robinet d’Incendie Armé</t>
  </si>
  <si>
    <t>Robinet d’Incendie Auxiliaire</t>
  </si>
  <si>
    <t>15</t>
  </si>
  <si>
    <t>16</t>
  </si>
  <si>
    <t>B,C,E</t>
  </si>
  <si>
    <t>A,B,C,D</t>
  </si>
  <si>
    <t>A,B,C,D,E</t>
  </si>
  <si>
    <t>A,C,E</t>
  </si>
  <si>
    <t>A,D</t>
  </si>
  <si>
    <t>A,B,C</t>
  </si>
  <si>
    <t>Quels sont les dispositifs pouvant constituer une A.E.S ?</t>
  </si>
  <si>
    <t>Un groupe électrogène</t>
  </si>
  <si>
    <t>Des batteries d’accumulateurs</t>
  </si>
  <si>
    <t>Le réseau électrique de distribution publique</t>
  </si>
  <si>
    <t>Un onduleur</t>
  </si>
  <si>
    <t>Qu’est-ce qu’un BAPI ?</t>
  </si>
  <si>
    <t>Une borne aménagée pour l’incendie</t>
  </si>
  <si>
    <t>Un balisage autonome particulier et indépendant</t>
  </si>
  <si>
    <t>Bloc autonome portable d’intervention</t>
  </si>
  <si>
    <t>Bloc autonome portable d’investigation</t>
  </si>
  <si>
    <t>L’autonomie d’une source de sécurité en ERP doit :</t>
  </si>
  <si>
    <t>Être suffisante pour alimenter la totalité des installations électriques</t>
  </si>
  <si>
    <t>Être suffisante pour alimenter la totalité des installations de sécurité pendant 1h00 minimum</t>
  </si>
  <si>
    <t>Être suffisante pour alimenter la totalité des installations de remplacement pendant 06h00</t>
  </si>
  <si>
    <t>Être définie dans tous les cas par la commission de sécurité compétente</t>
  </si>
  <si>
    <t>L’accès au TGBT est :</t>
  </si>
  <si>
    <t>Réservé au public</t>
  </si>
  <si>
    <t>Réservé au public si celui-ci est habilité H0B0</t>
  </si>
  <si>
    <t>Interdit aux agents SSIAP</t>
  </si>
  <si>
    <t>Réservé aux personnes qualifiées</t>
  </si>
  <si>
    <t>En ERP les batteries d’accumulateurs doivent être capables de secourir :</t>
  </si>
  <si>
    <t>Les ascenseurs</t>
  </si>
  <si>
    <t>Les systèmes d’alarme et d’alerte</t>
  </si>
  <si>
    <t>Les escaliers mécaniques</t>
  </si>
  <si>
    <t>Quels équipements de sécurité peut-on trouver dans une cabine d’ascenseur ?</t>
  </si>
  <si>
    <t>Un R.I.A</t>
  </si>
  <si>
    <t>Une sonnerie d’appel</t>
  </si>
  <si>
    <t>Une trousse de 1er secours</t>
  </si>
  <si>
    <t>Un éclairage de sécurité</t>
  </si>
  <si>
    <t>Un cendrier</t>
  </si>
  <si>
    <t>Afin d’empêcher les accidents de personnes, quels sont les dispositifs de protection équipant les ascenseurs ?</t>
  </si>
  <si>
    <t>Réducteur de vitesse</t>
  </si>
  <si>
    <t>Système "parachute"</t>
  </si>
  <si>
    <t>Système E.S.P.</t>
  </si>
  <si>
    <t>Système A.B.S.</t>
  </si>
  <si>
    <t>Porte palière avec sécurité anti-pincement</t>
  </si>
  <si>
    <t>Quelle est la caractéristique minimale de la source A d’une installation fixe d’extinction automatique à eau ?</t>
  </si>
  <si>
    <t>Réserve d’eau d’une demi-heure</t>
  </si>
  <si>
    <t>Réserve d’eau d’une heure</t>
  </si>
  <si>
    <t>Réserve d’eau d’une heure et demie</t>
  </si>
  <si>
    <t>Source d’eau potable</t>
  </si>
  <si>
    <t>Quelles vannes d’un poste de contrôle “SPRINKLEUR” sont normalement fermées ?</t>
  </si>
  <si>
    <t>La vanne d’alimentation et la vanne de vidange</t>
  </si>
  <si>
    <t>La vanne d’alimentation et la vanne de cloche</t>
  </si>
  <si>
    <t>La vanne de vidange et la vanne d’essai</t>
  </si>
  <si>
    <t>La vanne d’essai et la vanne de cloche</t>
  </si>
  <si>
    <t>Aucune des vannes</t>
  </si>
  <si>
    <t>Quelle est la caractéristique minimale de la source B d’une installation fixe d’extinction automatique à eau ?</t>
  </si>
  <si>
    <t>Source d’eau dite inépuisable</t>
  </si>
  <si>
    <t>Un poste sprinkler peut surveiller jusqu’à :</t>
  </si>
  <si>
    <t>99 têtes</t>
  </si>
  <si>
    <t>500 têtes</t>
  </si>
  <si>
    <t>1000 têtes</t>
  </si>
  <si>
    <t>10 000 têtes</t>
  </si>
  <si>
    <t>Le(s) quel(s) de ces équipements fait (font) partie d’une installation d’extinction automatique à eau ?</t>
  </si>
  <si>
    <t>Des têtes d’extinction</t>
  </si>
  <si>
    <t>Un réseau de canalisation</t>
  </si>
  <si>
    <t>Un poteau d’incendie</t>
  </si>
  <si>
    <t>Un poste de contrôle</t>
  </si>
  <si>
    <t>Un manomètre enregistreur</t>
  </si>
  <si>
    <t>La couleur rouge de l’ampoule d’une tête d’extinction correspond à une température de rupture de :</t>
  </si>
  <si>
    <t>57 °C</t>
  </si>
  <si>
    <t>68 °C</t>
  </si>
  <si>
    <t>79 °C</t>
  </si>
  <si>
    <t>90 °C</t>
  </si>
  <si>
    <t>Quels sont les agents extincteurs rencontrés dans une Installation Fixe d’Extinction Automatique à Gaz ?</t>
  </si>
  <si>
    <t>L’oxygène</t>
  </si>
  <si>
    <t>Le dioxyde de carbone</t>
  </si>
  <si>
    <t>Les gaz lourds</t>
  </si>
  <si>
    <t>Les agents inhibiteurs</t>
  </si>
  <si>
    <t>Les gaz inertes</t>
  </si>
  <si>
    <t>En IGH, quelle doit être la pression statique à assurer en permanence chaque colonne en charge ?</t>
  </si>
  <si>
    <t>Comprise entre 4 et 6 bars</t>
  </si>
  <si>
    <t>Comprise entre 5 et 7 bars</t>
  </si>
  <si>
    <t>Comprise entre 7 et 9 bars</t>
  </si>
  <si>
    <t>Variable selon le classement</t>
  </si>
  <si>
    <t>Quelles sont les opérations de surveillance à réaliser sur une colonne sèche ?</t>
  </si>
  <si>
    <t>Vérifier la présence des bouchons à chaque niveau</t>
  </si>
  <si>
    <t>Contrôler le bon fonctionnement de la robinetterie</t>
  </si>
  <si>
    <t>S’assurer que le local dans lequel la colonne sèche se trouve est fermé à clé</t>
  </si>
  <si>
    <t>S’assurer du libre accès des raccords d’alimentation</t>
  </si>
  <si>
    <t>Sur l'unité de signalisation qu'indique un voyant jaune fixe ?</t>
  </si>
  <si>
    <t>Un D.A.S. est en dérangement.</t>
  </si>
  <si>
    <t>Un D.A.S. n'est plus en position d'attente.</t>
  </si>
  <si>
    <t>Tous les D.A.S. sont en position d'attente</t>
  </si>
  <si>
    <t>Un D.A.S. est en position de sécurité</t>
  </si>
  <si>
    <t>Tous les D.A.S. sont en position de sécurité.</t>
  </si>
  <si>
    <t>Quelle est la durée minimale de la diffusion de l'alarme générale ?</t>
  </si>
  <si>
    <t>1 minute</t>
  </si>
  <si>
    <t>5 minutes</t>
  </si>
  <si>
    <t>10 minutes</t>
  </si>
  <si>
    <t>Lors de la mise en route de la fonction désenfumage quels D.A.S seront sollicités ?</t>
  </si>
  <si>
    <t>Les volets d'amenée d'air et d'extraction des fumées.</t>
  </si>
  <si>
    <t>Les clapets de ventilation ou de climatisation.</t>
  </si>
  <si>
    <t>La fermeture des portes C.F.</t>
  </si>
  <si>
    <t>Le non-stop des ascenseurs dans la zone concernée.</t>
  </si>
  <si>
    <t>Les coffrets de relayage</t>
  </si>
  <si>
    <t>A quoi sert une U.G.C.I.S ?</t>
  </si>
  <si>
    <t>Centraliser les informations de la détection</t>
  </si>
  <si>
    <t>Commander depuis le PC les organes de sécurité</t>
  </si>
  <si>
    <t>Gérer les issues de secours</t>
  </si>
  <si>
    <t>Visualiser les détections</t>
  </si>
  <si>
    <t>Qu'indique l'Unité de Signalisation lorsqu'un "voyant rouge" clignote?</t>
  </si>
  <si>
    <t>Un défaut de ligne</t>
  </si>
  <si>
    <t>Une zone mise hors service</t>
  </si>
  <si>
    <t>Les Dispositifs Actionnés de Sécurité en position de sécurité</t>
  </si>
  <si>
    <t>Les Dispositifs Actionnés de Sécurité en position d'attente</t>
  </si>
  <si>
    <t>Les lampes de l'unité de signalisation sont défectueuses</t>
  </si>
  <si>
    <t>Dans cette liste, quel(s) élément(s) entre(nt) dans la composition d'un S.S.I. de catégorie A ?</t>
  </si>
  <si>
    <t>L'unité manuelle de commande</t>
  </si>
  <si>
    <t>Le centralisateur de mise en sécurité incendie</t>
  </si>
  <si>
    <t>L'unité de gestion d'alerte</t>
  </si>
  <si>
    <t>Les alimentations électriques de sécurité</t>
  </si>
  <si>
    <t>L'agent de sécurité</t>
  </si>
  <si>
    <t>L'Unité de Gestion d'Alarme</t>
  </si>
  <si>
    <t>En IGH, que se passe-t-il lorsqu'un D.A.I. est sensibilisé dans une circulation horizontale commune?</t>
  </si>
  <si>
    <t>Il ne se passe rien</t>
  </si>
  <si>
    <t>Diffusion d'un message pré enregistré</t>
  </si>
  <si>
    <t>Diffusion de l'alarme générale sonore dans tout le bâtiment</t>
  </si>
  <si>
    <t>Diffusion de l'alarme générale sonore dans le compartiment sinistré</t>
  </si>
  <si>
    <t>Aucune réponse précédente</t>
  </si>
  <si>
    <t>A quel principe de fonctionnement associe-t-on un détecteur thermo vélocimétrique ?</t>
  </si>
  <si>
    <t>À l'élévation de la température dans un temps donné</t>
  </si>
  <si>
    <t>A l'association de l'élévation de température et de fumées</t>
  </si>
  <si>
    <t>A l'association de l'élévation de température et de flammes</t>
  </si>
  <si>
    <t>À l'élévation de la température et détection de vapeurs combustibles</t>
  </si>
  <si>
    <t>En I.G.H, quelles fonctions comporte la mise en sécurité ?</t>
  </si>
  <si>
    <t>Alerte des secours publics</t>
  </si>
  <si>
    <t>Rappel des ascenseurs prioritaires</t>
  </si>
  <si>
    <t>Compartimentage</t>
  </si>
  <si>
    <t>Désenfumage</t>
  </si>
  <si>
    <t>Quel est la fonction de l’ECS ou TS ?</t>
  </si>
  <si>
    <t>De collecter les informations provenant des DAS et de nous informer de leur état</t>
  </si>
  <si>
    <t>De mettre en sécurité le bâtiment</t>
  </si>
  <si>
    <t>De collecter les informations provenant des détecteurs et de nous informer de leur état</t>
  </si>
  <si>
    <t>Quels sont les éléments composant un SMSI ?</t>
  </si>
  <si>
    <t>Un SDI</t>
  </si>
  <si>
    <t>Un ou plusieurs DAS</t>
  </si>
  <si>
    <t>Un ou plusieurs DM</t>
  </si>
  <si>
    <t>Un CMSI</t>
  </si>
  <si>
    <t>Un ou plusieurs DAI</t>
  </si>
  <si>
    <t>Quels éléments peuvent entrer dans la composition d’un SMSI ?</t>
  </si>
  <si>
    <t>Des DAS</t>
  </si>
  <si>
    <t>Une AES</t>
  </si>
  <si>
    <t>Aucune des réponses</t>
  </si>
  <si>
    <t>Qu’est-ce qu’une U.A.E ?</t>
  </si>
  <si>
    <t>Une Unité d’Aide à l’Entraînement</t>
  </si>
  <si>
    <t>Une Unité d’Assistance à l’Exploitation</t>
  </si>
  <si>
    <t>Une Unité Assistée d’Évacuation</t>
  </si>
  <si>
    <t>Une Unité d’Aide à l’Exploitation</t>
  </si>
  <si>
    <t>Quels sont les DAS qui participent à la fonction de désenfumage ?</t>
  </si>
  <si>
    <t>Les volets de désenfumage</t>
  </si>
  <si>
    <t>Les clapets coupe-feu</t>
  </si>
  <si>
    <t>Les exutoires</t>
  </si>
  <si>
    <t>Les diffuseurs sonores</t>
  </si>
  <si>
    <t>Les ouvrants en façade</t>
  </si>
  <si>
    <t>Les portes coupe-feu</t>
  </si>
  <si>
    <t>Qu’est-ce que l’alarme restreinte ?</t>
  </si>
  <si>
    <t>Un signal direct au centre d’incendie et de secours</t>
  </si>
  <si>
    <t>Un signal d’évacuation qui prévient les occupants</t>
  </si>
  <si>
    <t>Un appel téléphonique au chef d’établissement</t>
  </si>
  <si>
    <t>Un dispositif de communication entre les agents de sécurité</t>
  </si>
  <si>
    <t>En ERP, on trouve des D.M dans un S.S.I de catégorie :</t>
  </si>
  <si>
    <t>Quel est le niveau d’accès pour effectuer un réarmement sur le SSI ?</t>
  </si>
  <si>
    <t>Niveau d’accès 0</t>
  </si>
  <si>
    <t>Niveau d’accès 1</t>
  </si>
  <si>
    <t>Niveau d’accès 2</t>
  </si>
  <si>
    <t>Niveau d’accès 3</t>
  </si>
  <si>
    <t>Niveau d’accès 4</t>
  </si>
  <si>
    <t>Niveau d’accès 5</t>
  </si>
  <si>
    <t>Lors de la mise en route de la fonction désenfumage quels DAS seront sollicités ?</t>
  </si>
  <si>
    <t>Les volets d’amenée d’air et d’extraction des fumées</t>
  </si>
  <si>
    <t>Les clapets de ventilation ou de climatisation</t>
  </si>
  <si>
    <t>La fermeture des portes C.F</t>
  </si>
  <si>
    <t>Le non-stop des ascenseurs dans la zone concernée</t>
  </si>
  <si>
    <t>À quoi sert une U.C.M.C ?</t>
  </si>
  <si>
    <t>Commander depuis le C.M.S.I les dispositifs actionnés de sécurité</t>
  </si>
  <si>
    <t>Dans quelles catégories de S.S.I trouve-t-on un C.M.S.I ?</t>
  </si>
  <si>
    <t>Catégorie A</t>
  </si>
  <si>
    <t>Catégorie B</t>
  </si>
  <si>
    <t>Catégorie C</t>
  </si>
  <si>
    <t>Catégorie D</t>
  </si>
  <si>
    <t>Catégorie E</t>
  </si>
  <si>
    <t>17</t>
  </si>
  <si>
    <t>18</t>
  </si>
  <si>
    <t>19</t>
  </si>
  <si>
    <t>20</t>
  </si>
  <si>
    <t>Lorsqu’un feu se déclare dans une circulation horizontale commune d’un IGH, plusieurs mises en sécurité automatiques sont déclenchées par le SSI de catégorie A, option IGH, conformément à la réglementation (arrêté du 30 décembre 2011 et instructions techniques) : détection → désenfumage → fermeture des portes coupe-feu → déverrouillage des accès → alarme → possibilité de commande manuelle</t>
  </si>
  <si>
    <t>La sensibilisation d’un D.A.I. dans une circulation horizontale commune déclenche le scénario de mise en sécurité du compartiment concerné, qui comprend : Déclenchement de l’alarme incendie dans la zone concernée (diffusion limitée au compartiment), Activation du désenfumage, Fermeture des portes coupe-feu, Déverrouillage des dispositifs de contrôle d’accès, Transmission de l’information au CMSI</t>
  </si>
  <si>
    <t>Dans un dispositif d’intercommunication (zone tampon entre l’escalier et le compartiment d’un IGH), le plan du niveau affiché dans cette zone doit indiquer clairement :
L’emplacement du dispositif d’intercommunication lui-même (où se trouve la zone tampon).
L’emplacement des escaliers protégés (issues verticales).
L’emplacement des sorties vers les compartiments.
Les itinéraires d’évacuation (cheminement vers les escaliers).
Les dispositifs de sécurité (ex. : commandes manuelles, extincteurs, déclencheurs manuels d’alarme).</t>
  </si>
  <si>
    <t>B,E</t>
  </si>
  <si>
    <t>A,B,E,F</t>
  </si>
  <si>
    <t>F</t>
  </si>
  <si>
    <t>B,D,F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</si>
</sst>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name val="Calibri"/>
    </font>
    <font>
      <sz val="11"/>
      <color rgb="FF000000"/>
      <name val="Calibri"/>
      <scheme val="minor"/>
    </font>
    <font>
      <sz val="8"/>
      <name val="Calibri"/>
      <family val="2"/>
      <scheme val="minor"/>
    </font>
    <font>
      <b/>
      <sz val="11"/>
      <color theme="1"/>
      <name val="Arial"/>
      <family val="2"/>
    </font>
    <font>
      <sz val="11"/>
      <color theme="0" tint="-0.249977111117893"/>
      <name val="Calibri"/>
      <family val="2"/>
      <scheme val="minor"/>
    </font>
    <font>
      <sz val="11"/>
      <color rgb="FF000000"/>
      <name val="Arial"/>
      <family val="2"/>
    </font>
    <font>
      <b/>
      <sz val="11"/>
      <color rgb="FF000000"/>
      <name val="Arial"/>
      <family val="2"/>
    </font>
    <font>
      <b/>
      <sz val="11"/>
      <color theme="1"/>
      <name val="Calibri"/>
      <family val="2"/>
      <scheme val="minor"/>
    </font>
    <font>
      <sz val="11"/>
      <color theme="1"/>
      <name val="Segoe UI"/>
      <family val="2"/>
    </font>
    <font>
      <b/>
      <sz val="11"/>
      <color theme="1"/>
      <name val="Segoe UI"/>
      <family val="2"/>
    </font>
    <font>
      <sz val="20"/>
      <color theme="1"/>
      <name val="Arial"/>
      <family val="2"/>
    </font>
    <font>
      <sz val="16"/>
      <color theme="1"/>
      <name val="Arial"/>
      <family val="2"/>
    </font>
    <font>
      <sz val="11"/>
      <color theme="1"/>
      <name val="Arial"/>
      <family val="2"/>
    </font>
    <font>
      <sz val="10.5"/>
      <color theme="1"/>
      <name val="Arial"/>
      <family val="2"/>
    </font>
    <font>
      <sz val="11"/>
      <color rgb="FF00B050"/>
      <name val="Arial"/>
      <family val="2"/>
    </font>
  </fonts>
  <fills count="6">
    <fill>
      <patternFill patternType="none"/>
    </fill>
    <fill>
      <patternFill patternType="gray125"/>
    </fill>
    <fill>
      <patternFill patternType="solid">
        <fgColor theme="6" tint="0.59999389629810485"/>
        <bgColor indexed="64"/>
      </patternFill>
    </fill>
    <fill>
      <patternFill patternType="solid">
        <fgColor theme="4" tint="0.79998168889431442"/>
        <bgColor indexed="64"/>
      </patternFill>
    </fill>
    <fill>
      <patternFill patternType="solid">
        <fgColor rgb="FF00B0F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17">
    <xf numFmtId="0" fontId="0" fillId="0" borderId="0" xfId="0"/>
    <xf numFmtId="0" fontId="1" fillId="0" borderId="1" xfId="0" applyFont="1" applyBorder="1" applyAlignment="1">
      <alignment horizontal="center" vertical="top"/>
    </xf>
    <xf numFmtId="0" fontId="0" fillId="0" borderId="0" xfId="0" applyAlignment="1">
      <alignment vertical="top"/>
    </xf>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0" fillId="3" borderId="0" xfId="0" applyFill="1" applyAlignment="1">
      <alignment vertical="top"/>
    </xf>
    <xf numFmtId="0" fontId="0" fillId="2" borderId="0" xfId="0" applyFill="1" applyAlignment="1">
      <alignment vertical="top"/>
    </xf>
    <xf numFmtId="0" fontId="5" fillId="0" borderId="0" xfId="0" applyFont="1"/>
    <xf numFmtId="0" fontId="6" fillId="0" borderId="0" xfId="1" applyFont="1" applyAlignment="1">
      <alignment vertical="top"/>
    </xf>
    <xf numFmtId="0" fontId="4" fillId="4" borderId="0" xfId="1" applyFont="1" applyFill="1" applyAlignment="1">
      <alignment vertical="top"/>
    </xf>
    <xf numFmtId="0" fontId="7" fillId="4" borderId="0" xfId="1" applyFont="1" applyFill="1" applyAlignment="1">
      <alignment vertical="top"/>
    </xf>
    <xf numFmtId="0" fontId="8" fillId="0" borderId="0" xfId="0" applyFont="1" applyAlignment="1">
      <alignment vertical="top"/>
    </xf>
    <xf numFmtId="0" fontId="11" fillId="0" borderId="0" xfId="0" applyFont="1" applyAlignment="1">
      <alignment vertical="center"/>
    </xf>
    <xf numFmtId="0" fontId="12" fillId="0" borderId="0" xfId="0" applyFont="1" applyAlignment="1">
      <alignment vertical="center"/>
    </xf>
    <xf numFmtId="0" fontId="13" fillId="0" borderId="0" xfId="0" applyFont="1" applyAlignment="1">
      <alignment vertical="center"/>
    </xf>
    <xf numFmtId="0" fontId="15" fillId="0" borderId="0" xfId="0" applyFont="1" applyAlignment="1">
      <alignment vertical="center"/>
    </xf>
    <xf numFmtId="0" fontId="0" fillId="5" borderId="0" xfId="0" applyFill="1" applyAlignment="1">
      <alignment vertical="top"/>
    </xf>
  </cellXfs>
  <cellStyles count="2">
    <cellStyle name="Normal" xfId="0" builtinId="0"/>
    <cellStyle name="Normal 2" xfId="1" xr:uid="{739EAF5D-6DEC-4933-BEAA-58326FF9FE6A}"/>
  </cellStyles>
  <dxfs count="7">
    <dxf>
      <fill>
        <patternFill>
          <bgColor rgb="FFCCFF66"/>
        </patternFill>
      </fill>
    </dxf>
    <dxf>
      <fill>
        <patternFill>
          <bgColor rgb="FFCCFF66"/>
        </patternFill>
      </fill>
    </dxf>
    <dxf>
      <fill>
        <patternFill>
          <bgColor rgb="FFCCFF66"/>
        </patternFill>
      </fill>
    </dxf>
    <dxf>
      <fill>
        <patternFill>
          <bgColor rgb="FFCCFF66"/>
        </patternFill>
      </fill>
    </dxf>
    <dxf>
      <fill>
        <patternFill>
          <bgColor rgb="FFCCFF66"/>
        </patternFill>
      </fill>
    </dxf>
    <dxf>
      <fill>
        <patternFill>
          <bgColor rgb="FFCCFF66"/>
        </patternFill>
      </fill>
    </dxf>
    <dxf>
      <fill>
        <patternFill>
          <bgColor rgb="FFCCFF66"/>
        </patternFill>
      </fill>
    </dxf>
  </dxfs>
  <tableStyles count="0" defaultTableStyle="TableStyleMedium9" defaultPivotStyle="PivotStyleLight16"/>
  <colors>
    <mruColors>
      <color rgb="FFCC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802DA-34CD-4211-BA22-9CD46B1FAA70}">
  <sheetPr>
    <tabColor rgb="FFFF0000"/>
  </sheetPr>
  <dimension ref="A1:B94"/>
  <sheetViews>
    <sheetView workbookViewId="0">
      <pane ySplit="1" topLeftCell="A2" activePane="bottomLeft" state="frozen"/>
      <selection pane="bottomLeft"/>
    </sheetView>
  </sheetViews>
  <sheetFormatPr baseColWidth="10" defaultRowHeight="15" x14ac:dyDescent="0.25"/>
  <cols>
    <col min="1" max="1" width="11.42578125" style="2"/>
    <col min="2" max="2" width="38.140625" style="2" customWidth="1"/>
    <col min="3" max="16384" width="11.42578125" style="2"/>
  </cols>
  <sheetData>
    <row r="1" spans="1:2" x14ac:dyDescent="0.25">
      <c r="A1" s="11" t="s">
        <v>45</v>
      </c>
      <c r="B1" s="11" t="s">
        <v>46</v>
      </c>
    </row>
    <row r="2" spans="1:2" x14ac:dyDescent="0.25">
      <c r="A2" s="2" t="s">
        <v>47</v>
      </c>
      <c r="B2" s="2" t="s">
        <v>48</v>
      </c>
    </row>
    <row r="3" spans="1:2" x14ac:dyDescent="0.25">
      <c r="A3" s="2" t="s">
        <v>49</v>
      </c>
      <c r="B3" s="2" t="s">
        <v>50</v>
      </c>
    </row>
    <row r="4" spans="1:2" x14ac:dyDescent="0.25">
      <c r="A4" s="2" t="s">
        <v>51</v>
      </c>
      <c r="B4" s="2" t="s">
        <v>52</v>
      </c>
    </row>
    <row r="5" spans="1:2" x14ac:dyDescent="0.25">
      <c r="A5" s="2" t="s">
        <v>53</v>
      </c>
      <c r="B5" s="2" t="s">
        <v>54</v>
      </c>
    </row>
    <row r="6" spans="1:2" x14ac:dyDescent="0.25">
      <c r="A6" s="2" t="s">
        <v>55</v>
      </c>
      <c r="B6" s="2" t="s">
        <v>56</v>
      </c>
    </row>
    <row r="7" spans="1:2" x14ac:dyDescent="0.25">
      <c r="A7" s="2" t="s">
        <v>57</v>
      </c>
      <c r="B7" s="2" t="s">
        <v>58</v>
      </c>
    </row>
    <row r="8" spans="1:2" x14ac:dyDescent="0.25">
      <c r="A8" s="2" t="s">
        <v>59</v>
      </c>
      <c r="B8" s="2" t="s">
        <v>60</v>
      </c>
    </row>
    <row r="9" spans="1:2" x14ac:dyDescent="0.25">
      <c r="A9" s="2" t="s">
        <v>61</v>
      </c>
      <c r="B9" s="2" t="s">
        <v>62</v>
      </c>
    </row>
    <row r="10" spans="1:2" x14ac:dyDescent="0.25">
      <c r="A10" s="2" t="s">
        <v>63</v>
      </c>
      <c r="B10" s="2" t="s">
        <v>64</v>
      </c>
    </row>
    <row r="11" spans="1:2" x14ac:dyDescent="0.25">
      <c r="A11" s="2" t="s">
        <v>65</v>
      </c>
      <c r="B11" s="2" t="s">
        <v>66</v>
      </c>
    </row>
    <row r="12" spans="1:2" x14ac:dyDescent="0.25">
      <c r="A12" s="2" t="s">
        <v>67</v>
      </c>
      <c r="B12" s="2" t="s">
        <v>68</v>
      </c>
    </row>
    <row r="13" spans="1:2" x14ac:dyDescent="0.25">
      <c r="A13" s="2" t="s">
        <v>69</v>
      </c>
      <c r="B13" s="2" t="s">
        <v>70</v>
      </c>
    </row>
    <row r="14" spans="1:2" x14ac:dyDescent="0.25">
      <c r="A14" s="2" t="s">
        <v>71</v>
      </c>
      <c r="B14" s="2" t="s">
        <v>72</v>
      </c>
    </row>
    <row r="15" spans="1:2" x14ac:dyDescent="0.25">
      <c r="A15" s="2" t="s">
        <v>73</v>
      </c>
      <c r="B15" s="2" t="s">
        <v>74</v>
      </c>
    </row>
    <row r="16" spans="1:2" x14ac:dyDescent="0.25">
      <c r="A16" s="2" t="s">
        <v>75</v>
      </c>
      <c r="B16" s="2" t="s">
        <v>76</v>
      </c>
    </row>
    <row r="17" spans="1:2" x14ac:dyDescent="0.25">
      <c r="A17" s="2" t="s">
        <v>77</v>
      </c>
      <c r="B17" s="2" t="s">
        <v>78</v>
      </c>
    </row>
    <row r="18" spans="1:2" x14ac:dyDescent="0.25">
      <c r="A18" s="2" t="s">
        <v>79</v>
      </c>
      <c r="B18" s="2" t="s">
        <v>80</v>
      </c>
    </row>
    <row r="19" spans="1:2" x14ac:dyDescent="0.25">
      <c r="A19" s="2" t="s">
        <v>81</v>
      </c>
      <c r="B19" s="2" t="s">
        <v>82</v>
      </c>
    </row>
    <row r="20" spans="1:2" x14ac:dyDescent="0.25">
      <c r="A20" s="2" t="s">
        <v>83</v>
      </c>
      <c r="B20" s="2" t="s">
        <v>84</v>
      </c>
    </row>
    <row r="21" spans="1:2" x14ac:dyDescent="0.25">
      <c r="A21" s="2" t="s">
        <v>85</v>
      </c>
      <c r="B21" s="2" t="s">
        <v>86</v>
      </c>
    </row>
    <row r="22" spans="1:2" x14ac:dyDescent="0.25">
      <c r="A22" s="2" t="s">
        <v>33</v>
      </c>
      <c r="B22" s="2" t="s">
        <v>87</v>
      </c>
    </row>
    <row r="23" spans="1:2" x14ac:dyDescent="0.25">
      <c r="A23" s="2" t="s">
        <v>88</v>
      </c>
      <c r="B23" s="2" t="s">
        <v>89</v>
      </c>
    </row>
    <row r="24" spans="1:2" x14ac:dyDescent="0.25">
      <c r="A24" s="2" t="s">
        <v>90</v>
      </c>
      <c r="B24" s="2" t="s">
        <v>91</v>
      </c>
    </row>
    <row r="25" spans="1:2" x14ac:dyDescent="0.25">
      <c r="A25" s="2" t="s">
        <v>92</v>
      </c>
      <c r="B25" s="2" t="s">
        <v>93</v>
      </c>
    </row>
    <row r="26" spans="1:2" x14ac:dyDescent="0.25">
      <c r="A26" s="2" t="s">
        <v>94</v>
      </c>
      <c r="B26" s="2" t="s">
        <v>95</v>
      </c>
    </row>
    <row r="27" spans="1:2" x14ac:dyDescent="0.25">
      <c r="A27" s="2" t="s">
        <v>96</v>
      </c>
      <c r="B27" s="2" t="s">
        <v>97</v>
      </c>
    </row>
    <row r="28" spans="1:2" x14ac:dyDescent="0.25">
      <c r="A28" s="2" t="s">
        <v>98</v>
      </c>
      <c r="B28" s="2" t="s">
        <v>99</v>
      </c>
    </row>
    <row r="29" spans="1:2" x14ac:dyDescent="0.25">
      <c r="A29" s="2" t="s">
        <v>32</v>
      </c>
      <c r="B29" s="2" t="s">
        <v>100</v>
      </c>
    </row>
    <row r="30" spans="1:2" x14ac:dyDescent="0.25">
      <c r="A30" s="2" t="s">
        <v>101</v>
      </c>
      <c r="B30" s="2" t="s">
        <v>102</v>
      </c>
    </row>
    <row r="31" spans="1:2" x14ac:dyDescent="0.25">
      <c r="A31" s="2" t="s">
        <v>103</v>
      </c>
      <c r="B31" s="2" t="s">
        <v>104</v>
      </c>
    </row>
    <row r="32" spans="1:2" x14ac:dyDescent="0.25">
      <c r="A32" s="2" t="s">
        <v>105</v>
      </c>
      <c r="B32" s="2" t="s">
        <v>106</v>
      </c>
    </row>
    <row r="33" spans="1:2" x14ac:dyDescent="0.25">
      <c r="A33" s="2" t="s">
        <v>107</v>
      </c>
      <c r="B33" s="2" t="s">
        <v>108</v>
      </c>
    </row>
    <row r="34" spans="1:2" x14ac:dyDescent="0.25">
      <c r="A34" s="2" t="s">
        <v>109</v>
      </c>
      <c r="B34" s="2" t="s">
        <v>110</v>
      </c>
    </row>
    <row r="35" spans="1:2" x14ac:dyDescent="0.25">
      <c r="A35" s="2" t="s">
        <v>111</v>
      </c>
      <c r="B35" s="2" t="s">
        <v>112</v>
      </c>
    </row>
    <row r="36" spans="1:2" x14ac:dyDescent="0.25">
      <c r="A36" s="2" t="s">
        <v>113</v>
      </c>
      <c r="B36" s="2" t="s">
        <v>114</v>
      </c>
    </row>
    <row r="37" spans="1:2" x14ac:dyDescent="0.25">
      <c r="A37" s="2" t="s">
        <v>115</v>
      </c>
      <c r="B37" s="2" t="s">
        <v>116</v>
      </c>
    </row>
    <row r="38" spans="1:2" x14ac:dyDescent="0.25">
      <c r="A38" s="2" t="s">
        <v>117</v>
      </c>
      <c r="B38" s="2" t="s">
        <v>118</v>
      </c>
    </row>
    <row r="39" spans="1:2" x14ac:dyDescent="0.25">
      <c r="A39" s="2" t="s">
        <v>119</v>
      </c>
      <c r="B39" s="2" t="s">
        <v>120</v>
      </c>
    </row>
    <row r="40" spans="1:2" x14ac:dyDescent="0.25">
      <c r="A40" s="2" t="s">
        <v>121</v>
      </c>
      <c r="B40" s="2" t="s">
        <v>122</v>
      </c>
    </row>
    <row r="41" spans="1:2" x14ac:dyDescent="0.25">
      <c r="A41" s="2" t="s">
        <v>123</v>
      </c>
      <c r="B41" s="2" t="s">
        <v>124</v>
      </c>
    </row>
    <row r="42" spans="1:2" x14ac:dyDescent="0.25">
      <c r="A42" s="2" t="s">
        <v>125</v>
      </c>
      <c r="B42" s="2" t="s">
        <v>126</v>
      </c>
    </row>
    <row r="43" spans="1:2" x14ac:dyDescent="0.25">
      <c r="A43" s="2" t="s">
        <v>127</v>
      </c>
      <c r="B43" s="2" t="s">
        <v>30</v>
      </c>
    </row>
    <row r="44" spans="1:2" x14ac:dyDescent="0.25">
      <c r="A44" s="2" t="s">
        <v>128</v>
      </c>
      <c r="B44" s="2" t="s">
        <v>129</v>
      </c>
    </row>
    <row r="45" spans="1:2" x14ac:dyDescent="0.25">
      <c r="A45" s="2" t="s">
        <v>130</v>
      </c>
      <c r="B45" s="2" t="s">
        <v>131</v>
      </c>
    </row>
    <row r="46" spans="1:2" x14ac:dyDescent="0.25">
      <c r="A46" s="2" t="s">
        <v>132</v>
      </c>
      <c r="B46" s="2" t="s">
        <v>133</v>
      </c>
    </row>
    <row r="47" spans="1:2" x14ac:dyDescent="0.25">
      <c r="A47" s="2" t="s">
        <v>134</v>
      </c>
      <c r="B47" s="2" t="s">
        <v>135</v>
      </c>
    </row>
    <row r="48" spans="1:2" x14ac:dyDescent="0.25">
      <c r="A48" s="2" t="s">
        <v>136</v>
      </c>
      <c r="B48" s="2" t="s">
        <v>137</v>
      </c>
    </row>
    <row r="49" spans="1:2" x14ac:dyDescent="0.25">
      <c r="A49" s="2" t="s">
        <v>138</v>
      </c>
      <c r="B49" s="2" t="s">
        <v>31</v>
      </c>
    </row>
    <row r="50" spans="1:2" x14ac:dyDescent="0.25">
      <c r="A50" s="2" t="s">
        <v>139</v>
      </c>
      <c r="B50" s="2" t="s">
        <v>140</v>
      </c>
    </row>
    <row r="51" spans="1:2" x14ac:dyDescent="0.25">
      <c r="A51" s="2" t="s">
        <v>141</v>
      </c>
      <c r="B51" s="2" t="s">
        <v>142</v>
      </c>
    </row>
    <row r="52" spans="1:2" x14ac:dyDescent="0.25">
      <c r="A52" s="2" t="s">
        <v>143</v>
      </c>
      <c r="B52" s="2" t="s">
        <v>144</v>
      </c>
    </row>
    <row r="53" spans="1:2" x14ac:dyDescent="0.25">
      <c r="A53" s="2" t="s">
        <v>145</v>
      </c>
      <c r="B53" s="2" t="s">
        <v>146</v>
      </c>
    </row>
    <row r="54" spans="1:2" x14ac:dyDescent="0.25">
      <c r="A54" s="2" t="s">
        <v>147</v>
      </c>
      <c r="B54" s="2" t="s">
        <v>148</v>
      </c>
    </row>
    <row r="55" spans="1:2" x14ac:dyDescent="0.25">
      <c r="A55" s="2" t="s">
        <v>149</v>
      </c>
      <c r="B55" s="2" t="s">
        <v>150</v>
      </c>
    </row>
    <row r="56" spans="1:2" x14ac:dyDescent="0.25">
      <c r="A56" s="2" t="s">
        <v>151</v>
      </c>
      <c r="B56" s="2" t="s">
        <v>152</v>
      </c>
    </row>
    <row r="57" spans="1:2" x14ac:dyDescent="0.25">
      <c r="A57" s="2" t="s">
        <v>153</v>
      </c>
      <c r="B57" s="2" t="s">
        <v>154</v>
      </c>
    </row>
    <row r="58" spans="1:2" x14ac:dyDescent="0.25">
      <c r="A58" s="2" t="s">
        <v>155</v>
      </c>
      <c r="B58" s="2" t="s">
        <v>156</v>
      </c>
    </row>
    <row r="59" spans="1:2" x14ac:dyDescent="0.25">
      <c r="A59" s="2" t="s">
        <v>157</v>
      </c>
      <c r="B59" s="2" t="s">
        <v>158</v>
      </c>
    </row>
    <row r="60" spans="1:2" x14ac:dyDescent="0.25">
      <c r="A60" s="2" t="s">
        <v>159</v>
      </c>
      <c r="B60" s="2" t="s">
        <v>160</v>
      </c>
    </row>
    <row r="61" spans="1:2" x14ac:dyDescent="0.25">
      <c r="A61" s="2" t="s">
        <v>161</v>
      </c>
      <c r="B61" s="2" t="s">
        <v>162</v>
      </c>
    </row>
    <row r="62" spans="1:2" x14ac:dyDescent="0.25">
      <c r="A62" s="2" t="s">
        <v>163</v>
      </c>
      <c r="B62" s="2" t="s">
        <v>164</v>
      </c>
    </row>
    <row r="63" spans="1:2" x14ac:dyDescent="0.25">
      <c r="A63" s="2" t="s">
        <v>165</v>
      </c>
      <c r="B63" s="2" t="s">
        <v>166</v>
      </c>
    </row>
    <row r="64" spans="1:2" x14ac:dyDescent="0.25">
      <c r="A64" s="2" t="s">
        <v>167</v>
      </c>
      <c r="B64" s="2" t="s">
        <v>168</v>
      </c>
    </row>
    <row r="65" spans="1:2" x14ac:dyDescent="0.25">
      <c r="A65" s="2" t="s">
        <v>169</v>
      </c>
      <c r="B65" s="2" t="s">
        <v>170</v>
      </c>
    </row>
    <row r="66" spans="1:2" x14ac:dyDescent="0.25">
      <c r="A66" s="2" t="s">
        <v>171</v>
      </c>
      <c r="B66" s="2" t="s">
        <v>172</v>
      </c>
    </row>
    <row r="67" spans="1:2" x14ac:dyDescent="0.25">
      <c r="A67" s="2" t="s">
        <v>173</v>
      </c>
      <c r="B67" s="2" t="s">
        <v>174</v>
      </c>
    </row>
    <row r="68" spans="1:2" x14ac:dyDescent="0.25">
      <c r="A68" s="2" t="s">
        <v>175</v>
      </c>
      <c r="B68" s="2" t="s">
        <v>176</v>
      </c>
    </row>
    <row r="69" spans="1:2" x14ac:dyDescent="0.25">
      <c r="A69" s="2" t="s">
        <v>35</v>
      </c>
      <c r="B69" s="2" t="s">
        <v>177</v>
      </c>
    </row>
    <row r="70" spans="1:2" x14ac:dyDescent="0.25">
      <c r="A70" s="2" t="s">
        <v>178</v>
      </c>
      <c r="B70" s="2" t="s">
        <v>179</v>
      </c>
    </row>
    <row r="71" spans="1:2" x14ac:dyDescent="0.25">
      <c r="A71" s="2" t="s">
        <v>34</v>
      </c>
      <c r="B71" s="2" t="s">
        <v>180</v>
      </c>
    </row>
    <row r="72" spans="1:2" x14ac:dyDescent="0.25">
      <c r="A72" s="2" t="s">
        <v>181</v>
      </c>
      <c r="B72" s="2" t="s">
        <v>182</v>
      </c>
    </row>
    <row r="73" spans="1:2" x14ac:dyDescent="0.25">
      <c r="A73" s="2" t="s">
        <v>183</v>
      </c>
      <c r="B73" s="2" t="s">
        <v>184</v>
      </c>
    </row>
    <row r="74" spans="1:2" x14ac:dyDescent="0.25">
      <c r="A74" s="2" t="s">
        <v>185</v>
      </c>
      <c r="B74" s="2" t="s">
        <v>186</v>
      </c>
    </row>
    <row r="75" spans="1:2" x14ac:dyDescent="0.25">
      <c r="A75" s="2" t="s">
        <v>187</v>
      </c>
      <c r="B75" s="2" t="s">
        <v>188</v>
      </c>
    </row>
    <row r="76" spans="1:2" x14ac:dyDescent="0.25">
      <c r="A76" s="2" t="s">
        <v>189</v>
      </c>
      <c r="B76" s="2" t="s">
        <v>190</v>
      </c>
    </row>
    <row r="77" spans="1:2" x14ac:dyDescent="0.25">
      <c r="A77" s="2" t="s">
        <v>191</v>
      </c>
      <c r="B77" s="2" t="s">
        <v>192</v>
      </c>
    </row>
    <row r="78" spans="1:2" x14ac:dyDescent="0.25">
      <c r="A78" s="2" t="s">
        <v>193</v>
      </c>
      <c r="B78" s="2" t="s">
        <v>194</v>
      </c>
    </row>
    <row r="79" spans="1:2" x14ac:dyDescent="0.25">
      <c r="A79" s="2" t="s">
        <v>195</v>
      </c>
      <c r="B79" s="2" t="s">
        <v>196</v>
      </c>
    </row>
    <row r="80" spans="1:2" x14ac:dyDescent="0.25">
      <c r="A80" s="2" t="s">
        <v>197</v>
      </c>
      <c r="B80" s="2" t="s">
        <v>198</v>
      </c>
    </row>
    <row r="81" spans="1:2" x14ac:dyDescent="0.25">
      <c r="A81" s="2" t="s">
        <v>199</v>
      </c>
      <c r="B81" s="2" t="s">
        <v>200</v>
      </c>
    </row>
    <row r="82" spans="1:2" x14ac:dyDescent="0.25">
      <c r="A82" s="2" t="s">
        <v>201</v>
      </c>
      <c r="B82" s="2" t="s">
        <v>202</v>
      </c>
    </row>
    <row r="83" spans="1:2" x14ac:dyDescent="0.25">
      <c r="A83" s="2" t="s">
        <v>203</v>
      </c>
      <c r="B83" s="2" t="s">
        <v>204</v>
      </c>
    </row>
    <row r="84" spans="1:2" x14ac:dyDescent="0.25">
      <c r="A84" s="2" t="s">
        <v>205</v>
      </c>
      <c r="B84" s="2" t="s">
        <v>206</v>
      </c>
    </row>
    <row r="85" spans="1:2" x14ac:dyDescent="0.25">
      <c r="A85" s="2" t="s">
        <v>207</v>
      </c>
      <c r="B85" s="2" t="s">
        <v>208</v>
      </c>
    </row>
    <row r="86" spans="1:2" x14ac:dyDescent="0.25">
      <c r="A86" s="2" t="s">
        <v>209</v>
      </c>
      <c r="B86" s="2" t="s">
        <v>210</v>
      </c>
    </row>
    <row r="87" spans="1:2" x14ac:dyDescent="0.25">
      <c r="A87" s="2" t="s">
        <v>211</v>
      </c>
      <c r="B87" s="2" t="s">
        <v>212</v>
      </c>
    </row>
    <row r="88" spans="1:2" x14ac:dyDescent="0.25">
      <c r="A88" s="2" t="s">
        <v>213</v>
      </c>
      <c r="B88" s="2" t="s">
        <v>214</v>
      </c>
    </row>
    <row r="89" spans="1:2" x14ac:dyDescent="0.25">
      <c r="A89" s="2" t="s">
        <v>215</v>
      </c>
      <c r="B89" s="2" t="s">
        <v>216</v>
      </c>
    </row>
    <row r="90" spans="1:2" x14ac:dyDescent="0.25">
      <c r="A90" s="2" t="s">
        <v>217</v>
      </c>
      <c r="B90" s="2" t="s">
        <v>218</v>
      </c>
    </row>
    <row r="91" spans="1:2" x14ac:dyDescent="0.25">
      <c r="A91" s="2" t="s">
        <v>219</v>
      </c>
      <c r="B91" s="2" t="s">
        <v>220</v>
      </c>
    </row>
    <row r="92" spans="1:2" x14ac:dyDescent="0.25">
      <c r="A92" s="2" t="s">
        <v>221</v>
      </c>
      <c r="B92" s="2" t="s">
        <v>222</v>
      </c>
    </row>
    <row r="93" spans="1:2" x14ac:dyDescent="0.25">
      <c r="A93" s="2" t="s">
        <v>223</v>
      </c>
      <c r="B93" s="2" t="s">
        <v>224</v>
      </c>
    </row>
    <row r="94" spans="1:2" x14ac:dyDescent="0.25">
      <c r="A94" s="2" t="s">
        <v>225</v>
      </c>
      <c r="B94" s="2" t="s">
        <v>226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L128"/>
  <sheetViews>
    <sheetView tabSelected="1" workbookViewId="0">
      <pane xSplit="3" ySplit="1" topLeftCell="D94" activePane="bottomRight" state="frozen"/>
      <selection pane="topRight" activeCell="D1" sqref="D1"/>
      <selection pane="bottomLeft" activeCell="A2" sqref="A2"/>
      <selection pane="bottomRight" activeCell="A128" sqref="A128"/>
    </sheetView>
  </sheetViews>
  <sheetFormatPr baseColWidth="10" defaultColWidth="9.140625" defaultRowHeight="15" x14ac:dyDescent="0.25"/>
  <cols>
    <col min="1" max="1" width="8.5703125" style="5" customWidth="1"/>
    <col min="2" max="2" width="9.140625" style="5"/>
    <col min="3" max="3" width="59.28515625" style="2" customWidth="1"/>
    <col min="4" max="10" width="25.42578125" style="2" customWidth="1"/>
    <col min="11" max="11" width="9.140625" style="6"/>
    <col min="12" max="12" width="50" style="2" customWidth="1"/>
    <col min="13" max="16384" width="9.140625" style="2"/>
  </cols>
  <sheetData>
    <row r="1" spans="1:12" x14ac:dyDescent="0.25">
      <c r="A1" s="4" t="s">
        <v>0</v>
      </c>
      <c r="B1" s="4" t="s">
        <v>1</v>
      </c>
      <c r="C1" s="1" t="s">
        <v>2</v>
      </c>
      <c r="D1" s="1" t="s">
        <v>3</v>
      </c>
      <c r="E1" s="1" t="s">
        <v>4</v>
      </c>
      <c r="F1" s="1" t="s">
        <v>5</v>
      </c>
      <c r="G1" s="1" t="s">
        <v>6</v>
      </c>
      <c r="H1" s="1" t="s">
        <v>7</v>
      </c>
      <c r="I1" s="1" t="s">
        <v>8</v>
      </c>
      <c r="J1" s="1" t="s">
        <v>246</v>
      </c>
      <c r="K1" s="3" t="s">
        <v>433</v>
      </c>
      <c r="L1" s="2" t="s">
        <v>445</v>
      </c>
    </row>
    <row r="2" spans="1:12" x14ac:dyDescent="0.25">
      <c r="A2" s="5" t="s">
        <v>228</v>
      </c>
      <c r="B2" s="5" t="s">
        <v>9</v>
      </c>
      <c r="C2" s="2" t="s">
        <v>247</v>
      </c>
      <c r="D2" s="2" t="s">
        <v>244</v>
      </c>
      <c r="E2" s="2" t="s">
        <v>248</v>
      </c>
      <c r="F2" s="2" t="s">
        <v>249</v>
      </c>
      <c r="G2" s="2" t="s">
        <v>250</v>
      </c>
      <c r="H2" s="2" t="s">
        <v>29</v>
      </c>
      <c r="K2" s="6" t="s">
        <v>19</v>
      </c>
    </row>
    <row r="3" spans="1:12" x14ac:dyDescent="0.25">
      <c r="A3" s="5" t="s">
        <v>228</v>
      </c>
      <c r="B3" s="5" t="s">
        <v>11</v>
      </c>
      <c r="C3" s="2" t="s">
        <v>251</v>
      </c>
      <c r="D3" s="2" t="s">
        <v>252</v>
      </c>
      <c r="E3" s="2" t="s">
        <v>253</v>
      </c>
      <c r="F3" s="2" t="s">
        <v>254</v>
      </c>
      <c r="G3" s="2" t="s">
        <v>245</v>
      </c>
      <c r="H3" s="2" t="s">
        <v>255</v>
      </c>
      <c r="I3" s="2" t="s">
        <v>256</v>
      </c>
      <c r="J3" s="2" t="s">
        <v>29</v>
      </c>
      <c r="K3" s="6" t="s">
        <v>434</v>
      </c>
    </row>
    <row r="4" spans="1:12" x14ac:dyDescent="0.25">
      <c r="A4" s="5" t="s">
        <v>228</v>
      </c>
      <c r="B4" s="5" t="s">
        <v>13</v>
      </c>
      <c r="C4" s="2" t="s">
        <v>257</v>
      </c>
      <c r="D4" s="2" t="s">
        <v>258</v>
      </c>
      <c r="E4" s="2" t="s">
        <v>252</v>
      </c>
      <c r="F4" s="2" t="s">
        <v>259</v>
      </c>
      <c r="G4" s="2" t="s">
        <v>260</v>
      </c>
      <c r="H4" s="2" t="s">
        <v>261</v>
      </c>
      <c r="I4" s="2" t="s">
        <v>29</v>
      </c>
      <c r="K4" s="6" t="s">
        <v>10</v>
      </c>
    </row>
    <row r="5" spans="1:12" x14ac:dyDescent="0.25">
      <c r="A5" s="5" t="s">
        <v>228</v>
      </c>
      <c r="B5" s="5" t="s">
        <v>14</v>
      </c>
      <c r="C5" s="2" t="s">
        <v>262</v>
      </c>
      <c r="D5" s="2" t="s">
        <v>263</v>
      </c>
      <c r="E5" s="2" t="s">
        <v>264</v>
      </c>
      <c r="F5" s="2" t="s">
        <v>265</v>
      </c>
      <c r="G5" s="2" t="s">
        <v>266</v>
      </c>
      <c r="H5" s="2" t="s">
        <v>267</v>
      </c>
      <c r="I5" s="2" t="s">
        <v>29</v>
      </c>
      <c r="K5" s="6" t="s">
        <v>10</v>
      </c>
    </row>
    <row r="6" spans="1:12" x14ac:dyDescent="0.25">
      <c r="A6" s="5" t="s">
        <v>228</v>
      </c>
      <c r="B6" s="5" t="s">
        <v>15</v>
      </c>
      <c r="C6" s="2" t="s">
        <v>268</v>
      </c>
      <c r="D6" s="2" t="s">
        <v>269</v>
      </c>
      <c r="E6" s="2" t="s">
        <v>270</v>
      </c>
      <c r="F6" s="2" t="s">
        <v>271</v>
      </c>
      <c r="G6" s="2" t="s">
        <v>272</v>
      </c>
      <c r="H6" s="2" t="s">
        <v>273</v>
      </c>
      <c r="I6" s="2" t="s">
        <v>29</v>
      </c>
      <c r="K6" s="6" t="s">
        <v>19</v>
      </c>
    </row>
    <row r="7" spans="1:12" x14ac:dyDescent="0.25">
      <c r="A7" s="5" t="s">
        <v>228</v>
      </c>
      <c r="B7" s="5" t="s">
        <v>17</v>
      </c>
      <c r="C7" s="2" t="s">
        <v>274</v>
      </c>
      <c r="D7" s="2" t="s">
        <v>275</v>
      </c>
      <c r="E7" s="2" t="s">
        <v>276</v>
      </c>
      <c r="F7" s="2" t="s">
        <v>277</v>
      </c>
      <c r="G7" s="2" t="s">
        <v>278</v>
      </c>
      <c r="H7" s="2" t="s">
        <v>279</v>
      </c>
      <c r="I7" s="2" t="s">
        <v>29</v>
      </c>
      <c r="K7" s="6" t="s">
        <v>435</v>
      </c>
    </row>
    <row r="8" spans="1:12" x14ac:dyDescent="0.25">
      <c r="A8" s="5" t="s">
        <v>228</v>
      </c>
      <c r="B8" s="5" t="s">
        <v>18</v>
      </c>
      <c r="C8" s="2" t="s">
        <v>280</v>
      </c>
      <c r="D8" s="2" t="s">
        <v>281</v>
      </c>
      <c r="E8" s="2" t="s">
        <v>282</v>
      </c>
      <c r="F8" s="2" t="s">
        <v>283</v>
      </c>
      <c r="G8" s="2" t="s">
        <v>284</v>
      </c>
      <c r="H8" s="2" t="s">
        <v>285</v>
      </c>
      <c r="I8" s="2" t="s">
        <v>29</v>
      </c>
      <c r="K8" s="6" t="s">
        <v>434</v>
      </c>
    </row>
    <row r="9" spans="1:12" x14ac:dyDescent="0.25">
      <c r="A9" s="5" t="s">
        <v>228</v>
      </c>
      <c r="B9" s="5" t="s">
        <v>20</v>
      </c>
      <c r="C9" s="2" t="s">
        <v>286</v>
      </c>
      <c r="D9" s="2" t="s">
        <v>287</v>
      </c>
      <c r="E9" s="2" t="s">
        <v>288</v>
      </c>
      <c r="F9" s="2" t="s">
        <v>289</v>
      </c>
      <c r="G9" s="2" t="s">
        <v>290</v>
      </c>
      <c r="H9" s="2" t="s">
        <v>29</v>
      </c>
      <c r="K9" s="6" t="s">
        <v>10</v>
      </c>
    </row>
    <row r="10" spans="1:12" x14ac:dyDescent="0.25">
      <c r="A10" s="5" t="s">
        <v>228</v>
      </c>
      <c r="B10" s="5" t="s">
        <v>22</v>
      </c>
      <c r="C10" s="2" t="s">
        <v>291</v>
      </c>
      <c r="D10" s="2" t="s">
        <v>292</v>
      </c>
      <c r="E10" s="2" t="s">
        <v>293</v>
      </c>
      <c r="F10" s="2" t="s">
        <v>294</v>
      </c>
      <c r="G10" s="2" t="s">
        <v>295</v>
      </c>
      <c r="H10" s="2" t="s">
        <v>29</v>
      </c>
      <c r="K10" s="6" t="s">
        <v>436</v>
      </c>
    </row>
    <row r="11" spans="1:12" x14ac:dyDescent="0.25">
      <c r="A11" s="5" t="s">
        <v>228</v>
      </c>
      <c r="B11" s="5" t="s">
        <v>23</v>
      </c>
      <c r="C11" s="2" t="s">
        <v>296</v>
      </c>
      <c r="D11" s="2" t="s">
        <v>297</v>
      </c>
      <c r="E11" s="2" t="s">
        <v>298</v>
      </c>
      <c r="F11" s="2" t="s">
        <v>299</v>
      </c>
      <c r="G11" s="2" t="s">
        <v>300</v>
      </c>
      <c r="H11" s="2" t="s">
        <v>266</v>
      </c>
      <c r="I11" s="2" t="s">
        <v>29</v>
      </c>
      <c r="K11" s="6" t="s">
        <v>437</v>
      </c>
    </row>
    <row r="12" spans="1:12" x14ac:dyDescent="0.25">
      <c r="A12" s="5" t="s">
        <v>228</v>
      </c>
      <c r="B12" s="5" t="s">
        <v>24</v>
      </c>
      <c r="C12" s="2" t="s">
        <v>301</v>
      </c>
      <c r="D12" s="2" t="s">
        <v>302</v>
      </c>
      <c r="E12" s="2" t="s">
        <v>303</v>
      </c>
      <c r="F12" s="2" t="s">
        <v>304</v>
      </c>
      <c r="G12" s="2" t="s">
        <v>305</v>
      </c>
      <c r="H12" s="2" t="s">
        <v>29</v>
      </c>
      <c r="K12" s="6" t="s">
        <v>19</v>
      </c>
    </row>
    <row r="13" spans="1:12" x14ac:dyDescent="0.25">
      <c r="A13" s="5" t="s">
        <v>228</v>
      </c>
      <c r="B13" s="5" t="s">
        <v>25</v>
      </c>
      <c r="C13" s="2" t="s">
        <v>306</v>
      </c>
      <c r="D13" s="2" t="s">
        <v>307</v>
      </c>
      <c r="E13" s="2" t="s">
        <v>308</v>
      </c>
      <c r="F13" s="2" t="s">
        <v>309</v>
      </c>
      <c r="G13" s="2" t="s">
        <v>310</v>
      </c>
      <c r="H13" s="2" t="s">
        <v>311</v>
      </c>
      <c r="I13" s="2" t="s">
        <v>29</v>
      </c>
      <c r="K13" s="6" t="s">
        <v>21</v>
      </c>
    </row>
    <row r="14" spans="1:12" x14ac:dyDescent="0.25">
      <c r="A14" s="5" t="s">
        <v>228</v>
      </c>
      <c r="B14" s="5" t="s">
        <v>26</v>
      </c>
      <c r="C14" s="2" t="s">
        <v>312</v>
      </c>
      <c r="D14" s="2" t="s">
        <v>302</v>
      </c>
      <c r="E14" s="2" t="s">
        <v>303</v>
      </c>
      <c r="F14" s="2" t="s">
        <v>304</v>
      </c>
      <c r="G14" s="2" t="s">
        <v>305</v>
      </c>
      <c r="H14" s="2" t="s">
        <v>29</v>
      </c>
      <c r="K14" s="6" t="s">
        <v>12</v>
      </c>
    </row>
    <row r="15" spans="1:12" x14ac:dyDescent="0.25">
      <c r="A15" s="5" t="s">
        <v>228</v>
      </c>
      <c r="B15" s="5" t="s">
        <v>27</v>
      </c>
      <c r="C15" s="2" t="s">
        <v>313</v>
      </c>
      <c r="D15" s="2" t="s">
        <v>314</v>
      </c>
      <c r="E15" s="2" t="s">
        <v>315</v>
      </c>
      <c r="F15" s="2" t="s">
        <v>316</v>
      </c>
      <c r="G15" s="2" t="s">
        <v>317</v>
      </c>
      <c r="H15" s="2" t="s">
        <v>318</v>
      </c>
      <c r="I15" s="2" t="s">
        <v>319</v>
      </c>
      <c r="J15" s="2" t="s">
        <v>29</v>
      </c>
      <c r="K15" s="6" t="s">
        <v>438</v>
      </c>
    </row>
    <row r="16" spans="1:12" x14ac:dyDescent="0.25">
      <c r="A16" s="5" t="s">
        <v>229</v>
      </c>
      <c r="B16" s="5" t="s">
        <v>9</v>
      </c>
      <c r="C16" s="2" t="s">
        <v>320</v>
      </c>
      <c r="D16" s="2" t="s">
        <v>321</v>
      </c>
      <c r="E16" s="2" t="s">
        <v>322</v>
      </c>
      <c r="F16" s="2" t="s">
        <v>323</v>
      </c>
      <c r="G16" s="2" t="s">
        <v>324</v>
      </c>
      <c r="H16" s="2" t="s">
        <v>325</v>
      </c>
      <c r="I16" s="2" t="s">
        <v>29</v>
      </c>
      <c r="K16" s="6" t="s">
        <v>436</v>
      </c>
      <c r="L16" s="2" t="s">
        <v>439</v>
      </c>
    </row>
    <row r="17" spans="1:12" x14ac:dyDescent="0.25">
      <c r="A17" s="5" t="s">
        <v>229</v>
      </c>
      <c r="B17" s="5" t="s">
        <v>11</v>
      </c>
      <c r="C17" s="2" t="s">
        <v>326</v>
      </c>
      <c r="D17" s="2" t="s">
        <v>327</v>
      </c>
      <c r="E17" s="2" t="s">
        <v>328</v>
      </c>
      <c r="F17" s="2" t="s">
        <v>329</v>
      </c>
      <c r="G17" s="2" t="s">
        <v>330</v>
      </c>
      <c r="H17" s="2" t="s">
        <v>29</v>
      </c>
      <c r="K17" s="6" t="s">
        <v>19</v>
      </c>
      <c r="L17" s="2" t="s">
        <v>440</v>
      </c>
    </row>
    <row r="18" spans="1:12" x14ac:dyDescent="0.25">
      <c r="A18" s="5" t="s">
        <v>229</v>
      </c>
      <c r="B18" s="5" t="s">
        <v>13</v>
      </c>
      <c r="C18" s="2" t="s">
        <v>331</v>
      </c>
      <c r="D18" s="2" t="s">
        <v>332</v>
      </c>
      <c r="E18" s="2" t="s">
        <v>333</v>
      </c>
      <c r="F18" s="2" t="s">
        <v>334</v>
      </c>
      <c r="G18" s="2" t="s">
        <v>335</v>
      </c>
      <c r="H18" s="2" t="s">
        <v>29</v>
      </c>
      <c r="K18" s="6" t="s">
        <v>12</v>
      </c>
      <c r="L18" s="2" t="s">
        <v>441</v>
      </c>
    </row>
    <row r="19" spans="1:12" x14ac:dyDescent="0.25">
      <c r="A19" s="5" t="s">
        <v>229</v>
      </c>
      <c r="B19" s="5" t="s">
        <v>14</v>
      </c>
      <c r="C19" s="2" t="s">
        <v>336</v>
      </c>
      <c r="D19" s="2" t="s">
        <v>337</v>
      </c>
      <c r="E19" s="2" t="s">
        <v>338</v>
      </c>
      <c r="F19" s="2" t="s">
        <v>339</v>
      </c>
      <c r="G19" s="2" t="s">
        <v>456</v>
      </c>
      <c r="H19" s="2" t="s">
        <v>340</v>
      </c>
      <c r="I19" s="2" t="s">
        <v>29</v>
      </c>
      <c r="K19" s="6" t="s">
        <v>442</v>
      </c>
      <c r="L19" s="2" t="s">
        <v>443</v>
      </c>
    </row>
    <row r="20" spans="1:12" ht="16.5" x14ac:dyDescent="0.25">
      <c r="A20" s="5" t="s">
        <v>229</v>
      </c>
      <c r="B20" s="5" t="s">
        <v>15</v>
      </c>
      <c r="C20" s="2" t="s">
        <v>341</v>
      </c>
      <c r="D20" s="2" t="s">
        <v>342</v>
      </c>
      <c r="E20" s="2" t="s">
        <v>343</v>
      </c>
      <c r="F20" s="2" t="s">
        <v>344</v>
      </c>
      <c r="G20" s="2" t="s">
        <v>345</v>
      </c>
      <c r="H20" s="2" t="s">
        <v>29</v>
      </c>
      <c r="K20" s="6" t="s">
        <v>16</v>
      </c>
      <c r="L20" s="2" t="s">
        <v>444</v>
      </c>
    </row>
    <row r="21" spans="1:12" x14ac:dyDescent="0.25">
      <c r="A21" s="5" t="s">
        <v>229</v>
      </c>
      <c r="B21" s="5" t="s">
        <v>17</v>
      </c>
      <c r="C21" s="2" t="s">
        <v>346</v>
      </c>
      <c r="D21" s="2" t="s">
        <v>347</v>
      </c>
      <c r="E21" s="2" t="s">
        <v>348</v>
      </c>
      <c r="F21" s="2" t="s">
        <v>349</v>
      </c>
      <c r="G21" s="2" t="s">
        <v>350</v>
      </c>
      <c r="H21" s="2" t="s">
        <v>29</v>
      </c>
      <c r="K21" s="6" t="s">
        <v>435</v>
      </c>
      <c r="L21" s="2" t="s">
        <v>457</v>
      </c>
    </row>
    <row r="22" spans="1:12" x14ac:dyDescent="0.25">
      <c r="A22" s="5" t="s">
        <v>229</v>
      </c>
      <c r="B22" s="5" t="s">
        <v>18</v>
      </c>
      <c r="C22" s="2" t="s">
        <v>351</v>
      </c>
      <c r="D22" s="2" t="s">
        <v>352</v>
      </c>
      <c r="E22" s="2" t="s">
        <v>353</v>
      </c>
      <c r="F22" s="2" t="s">
        <v>354</v>
      </c>
      <c r="G22" s="2" t="s">
        <v>355</v>
      </c>
      <c r="H22" s="2" t="s">
        <v>356</v>
      </c>
      <c r="I22" s="2" t="s">
        <v>357</v>
      </c>
      <c r="J22" s="2" t="s">
        <v>29</v>
      </c>
      <c r="K22" s="6" t="s">
        <v>447</v>
      </c>
      <c r="L22" s="2" t="s">
        <v>448</v>
      </c>
    </row>
    <row r="23" spans="1:12" x14ac:dyDescent="0.25">
      <c r="A23" s="5" t="s">
        <v>229</v>
      </c>
      <c r="B23" s="5" t="s">
        <v>20</v>
      </c>
      <c r="C23" s="2" t="s">
        <v>358</v>
      </c>
      <c r="D23" s="2" t="s">
        <v>359</v>
      </c>
      <c r="E23" s="2" t="s">
        <v>360</v>
      </c>
      <c r="F23" s="2" t="s">
        <v>361</v>
      </c>
      <c r="G23" s="2" t="s">
        <v>322</v>
      </c>
      <c r="H23" s="2" t="s">
        <v>29</v>
      </c>
      <c r="K23" s="6" t="s">
        <v>10</v>
      </c>
      <c r="L23" s="2" t="s">
        <v>449</v>
      </c>
    </row>
    <row r="24" spans="1:12" x14ac:dyDescent="0.25">
      <c r="A24" s="5" t="s">
        <v>229</v>
      </c>
      <c r="B24" s="5" t="s">
        <v>22</v>
      </c>
      <c r="C24" s="2" t="s">
        <v>362</v>
      </c>
      <c r="D24" s="2" t="s">
        <v>363</v>
      </c>
      <c r="E24" s="2" t="s">
        <v>364</v>
      </c>
      <c r="F24" s="2" t="s">
        <v>365</v>
      </c>
      <c r="G24" s="2" t="s">
        <v>366</v>
      </c>
      <c r="H24" s="2" t="s">
        <v>367</v>
      </c>
      <c r="I24" s="2" t="s">
        <v>29</v>
      </c>
      <c r="K24" s="6" t="s">
        <v>450</v>
      </c>
      <c r="L24" s="2" t="s">
        <v>451</v>
      </c>
    </row>
    <row r="25" spans="1:12" x14ac:dyDescent="0.25">
      <c r="A25" s="5" t="s">
        <v>230</v>
      </c>
      <c r="B25" s="5" t="s">
        <v>9</v>
      </c>
      <c r="C25" s="2" t="s">
        <v>368</v>
      </c>
      <c r="D25" s="2" t="s">
        <v>369</v>
      </c>
      <c r="E25" s="2" t="s">
        <v>370</v>
      </c>
      <c r="F25" s="2" t="s">
        <v>371</v>
      </c>
      <c r="G25" s="2" t="s">
        <v>372</v>
      </c>
      <c r="H25" s="2" t="s">
        <v>29</v>
      </c>
      <c r="K25" s="6" t="s">
        <v>19</v>
      </c>
    </row>
    <row r="26" spans="1:12" x14ac:dyDescent="0.25">
      <c r="A26" s="5" t="s">
        <v>230</v>
      </c>
      <c r="B26" s="5" t="s">
        <v>11</v>
      </c>
      <c r="C26" s="2" t="s">
        <v>373</v>
      </c>
      <c r="D26" s="2" t="s">
        <v>374</v>
      </c>
      <c r="E26" s="2" t="s">
        <v>375</v>
      </c>
      <c r="F26" s="2" t="s">
        <v>376</v>
      </c>
      <c r="G26" s="2" t="s">
        <v>29</v>
      </c>
      <c r="K26" s="6" t="s">
        <v>10</v>
      </c>
    </row>
    <row r="27" spans="1:12" x14ac:dyDescent="0.25">
      <c r="A27" s="5" t="s">
        <v>230</v>
      </c>
      <c r="B27" s="5" t="s">
        <v>13</v>
      </c>
      <c r="C27" s="2" t="s">
        <v>377</v>
      </c>
      <c r="D27" s="2" t="s">
        <v>378</v>
      </c>
      <c r="E27" s="2" t="s">
        <v>379</v>
      </c>
      <c r="F27" s="2" t="s">
        <v>380</v>
      </c>
      <c r="G27" s="2" t="s">
        <v>381</v>
      </c>
      <c r="H27" s="2" t="s">
        <v>382</v>
      </c>
      <c r="I27" s="2" t="s">
        <v>29</v>
      </c>
      <c r="K27" s="6" t="s">
        <v>452</v>
      </c>
    </row>
    <row r="28" spans="1:12" x14ac:dyDescent="0.25">
      <c r="A28" s="5" t="s">
        <v>230</v>
      </c>
      <c r="B28" s="5" t="s">
        <v>14</v>
      </c>
      <c r="C28" s="2" t="s">
        <v>383</v>
      </c>
      <c r="D28" s="2" t="s">
        <v>384</v>
      </c>
      <c r="E28" s="2" t="s">
        <v>385</v>
      </c>
      <c r="F28" s="2" t="s">
        <v>386</v>
      </c>
      <c r="G28" s="2" t="s">
        <v>387</v>
      </c>
      <c r="H28" s="2" t="s">
        <v>388</v>
      </c>
      <c r="I28" s="2" t="s">
        <v>29</v>
      </c>
      <c r="K28" s="6" t="s">
        <v>16</v>
      </c>
    </row>
    <row r="29" spans="1:12" x14ac:dyDescent="0.25">
      <c r="A29" s="5" t="s">
        <v>230</v>
      </c>
      <c r="B29" s="5" t="s">
        <v>15</v>
      </c>
      <c r="C29" s="2" t="s">
        <v>389</v>
      </c>
      <c r="D29" s="2" t="s">
        <v>390</v>
      </c>
      <c r="E29" s="2" t="s">
        <v>391</v>
      </c>
      <c r="F29" s="2" t="s">
        <v>392</v>
      </c>
      <c r="G29" s="2" t="s">
        <v>393</v>
      </c>
      <c r="H29" s="2" t="s">
        <v>394</v>
      </c>
      <c r="I29" s="2" t="s">
        <v>395</v>
      </c>
      <c r="J29" s="2" t="s">
        <v>29</v>
      </c>
      <c r="K29" s="6" t="s">
        <v>453</v>
      </c>
    </row>
    <row r="30" spans="1:12" x14ac:dyDescent="0.25">
      <c r="A30" s="5" t="s">
        <v>230</v>
      </c>
      <c r="B30" s="5" t="s">
        <v>17</v>
      </c>
      <c r="C30" s="2" t="s">
        <v>396</v>
      </c>
      <c r="D30" s="2" t="s">
        <v>397</v>
      </c>
      <c r="E30" s="2" t="s">
        <v>398</v>
      </c>
      <c r="F30" s="2" t="s">
        <v>399</v>
      </c>
      <c r="G30" s="2" t="s">
        <v>400</v>
      </c>
      <c r="H30" s="2" t="s">
        <v>29</v>
      </c>
      <c r="K30" s="6" t="s">
        <v>12</v>
      </c>
    </row>
    <row r="31" spans="1:12" x14ac:dyDescent="0.25">
      <c r="A31" s="5" t="s">
        <v>39</v>
      </c>
      <c r="B31" s="5" t="s">
        <v>9</v>
      </c>
      <c r="C31" s="2" t="s">
        <v>401</v>
      </c>
      <c r="D31" s="2" t="s">
        <v>402</v>
      </c>
      <c r="E31" s="2" t="s">
        <v>403</v>
      </c>
      <c r="F31" s="2" t="s">
        <v>404</v>
      </c>
      <c r="G31" s="2" t="s">
        <v>405</v>
      </c>
      <c r="H31" s="2" t="s">
        <v>29</v>
      </c>
      <c r="K31" s="6" t="s">
        <v>454</v>
      </c>
    </row>
    <row r="32" spans="1:12" x14ac:dyDescent="0.25">
      <c r="A32" s="5" t="s">
        <v>39</v>
      </c>
      <c r="B32" s="5" t="s">
        <v>11</v>
      </c>
      <c r="C32" s="2" t="s">
        <v>406</v>
      </c>
      <c r="D32" s="2" t="s">
        <v>407</v>
      </c>
      <c r="E32" s="2" t="s">
        <v>408</v>
      </c>
      <c r="F32" s="2" t="s">
        <v>409</v>
      </c>
      <c r="G32" s="2" t="s">
        <v>410</v>
      </c>
      <c r="H32" s="2" t="s">
        <v>29</v>
      </c>
      <c r="K32" s="6" t="s">
        <v>16</v>
      </c>
    </row>
    <row r="33" spans="1:11" x14ac:dyDescent="0.25">
      <c r="A33" s="5" t="s">
        <v>39</v>
      </c>
      <c r="B33" s="5" t="s">
        <v>13</v>
      </c>
      <c r="C33" s="2" t="s">
        <v>411</v>
      </c>
      <c r="D33" s="2" t="s">
        <v>412</v>
      </c>
      <c r="E33" s="2" t="s">
        <v>413</v>
      </c>
      <c r="F33" s="2" t="s">
        <v>414</v>
      </c>
      <c r="G33" s="2" t="s">
        <v>415</v>
      </c>
      <c r="H33" s="2" t="s">
        <v>29</v>
      </c>
      <c r="K33" s="6" t="s">
        <v>10</v>
      </c>
    </row>
    <row r="34" spans="1:11" x14ac:dyDescent="0.25">
      <c r="A34" s="5" t="s">
        <v>39</v>
      </c>
      <c r="B34" s="5" t="s">
        <v>14</v>
      </c>
      <c r="C34" s="2" t="s">
        <v>416</v>
      </c>
      <c r="D34" s="2" t="s">
        <v>417</v>
      </c>
      <c r="E34" s="2" t="s">
        <v>418</v>
      </c>
      <c r="F34" s="2" t="s">
        <v>419</v>
      </c>
      <c r="G34" s="2" t="s">
        <v>29</v>
      </c>
      <c r="K34" s="6" t="s">
        <v>455</v>
      </c>
    </row>
    <row r="35" spans="1:11" x14ac:dyDescent="0.25">
      <c r="A35" s="5" t="s">
        <v>39</v>
      </c>
      <c r="B35" s="5" t="s">
        <v>15</v>
      </c>
      <c r="C35" s="2" t="s">
        <v>420</v>
      </c>
      <c r="D35" s="2" t="s">
        <v>421</v>
      </c>
      <c r="E35" s="2" t="s">
        <v>422</v>
      </c>
      <c r="F35" s="2" t="s">
        <v>423</v>
      </c>
      <c r="G35" s="2" t="s">
        <v>424</v>
      </c>
      <c r="H35" s="2" t="s">
        <v>29</v>
      </c>
      <c r="K35" s="6" t="s">
        <v>21</v>
      </c>
    </row>
    <row r="36" spans="1:11" x14ac:dyDescent="0.25">
      <c r="A36" s="5" t="s">
        <v>39</v>
      </c>
      <c r="B36" s="5" t="s">
        <v>17</v>
      </c>
      <c r="C36" s="2" t="s">
        <v>425</v>
      </c>
      <c r="D36" s="2" t="s">
        <v>426</v>
      </c>
      <c r="E36" s="2" t="s">
        <v>427</v>
      </c>
      <c r="F36" s="2" t="s">
        <v>412</v>
      </c>
      <c r="G36" s="2" t="s">
        <v>428</v>
      </c>
      <c r="H36" s="2" t="s">
        <v>29</v>
      </c>
      <c r="K36" s="6" t="s">
        <v>21</v>
      </c>
    </row>
    <row r="37" spans="1:11" x14ac:dyDescent="0.25">
      <c r="A37" s="5" t="s">
        <v>39</v>
      </c>
      <c r="B37" s="5" t="s">
        <v>18</v>
      </c>
      <c r="C37" s="2" t="s">
        <v>429</v>
      </c>
      <c r="D37" s="2" t="s">
        <v>414</v>
      </c>
      <c r="E37" s="2" t="s">
        <v>430</v>
      </c>
      <c r="F37" s="2" t="s">
        <v>431</v>
      </c>
      <c r="G37" s="2" t="s">
        <v>432</v>
      </c>
      <c r="H37" s="2" t="s">
        <v>29</v>
      </c>
      <c r="K37" s="6" t="s">
        <v>12</v>
      </c>
    </row>
    <row r="38" spans="1:11" x14ac:dyDescent="0.25">
      <c r="A38" s="5" t="s">
        <v>234</v>
      </c>
      <c r="B38" s="5" t="s">
        <v>9</v>
      </c>
      <c r="C38" s="2" t="s">
        <v>682</v>
      </c>
      <c r="D38" s="2" t="s">
        <v>683</v>
      </c>
      <c r="E38" s="2" t="s">
        <v>684</v>
      </c>
      <c r="F38" s="2" t="s">
        <v>685</v>
      </c>
      <c r="G38" s="2" t="s">
        <v>686</v>
      </c>
      <c r="H38" s="2" t="s">
        <v>687</v>
      </c>
      <c r="I38" s="2" t="s">
        <v>29</v>
      </c>
      <c r="K38" s="6" t="s">
        <v>442</v>
      </c>
    </row>
    <row r="39" spans="1:11" x14ac:dyDescent="0.25">
      <c r="A39" s="5" t="s">
        <v>234</v>
      </c>
      <c r="B39" s="5" t="s">
        <v>11</v>
      </c>
      <c r="C39" s="2" t="s">
        <v>688</v>
      </c>
      <c r="D39" s="2" t="s">
        <v>689</v>
      </c>
      <c r="E39" s="2" t="s">
        <v>690</v>
      </c>
      <c r="F39" s="2" t="s">
        <v>691</v>
      </c>
      <c r="G39" s="2" t="s">
        <v>692</v>
      </c>
      <c r="H39" s="2" t="s">
        <v>29</v>
      </c>
      <c r="K39" s="6" t="s">
        <v>10</v>
      </c>
    </row>
    <row r="40" spans="1:11" x14ac:dyDescent="0.25">
      <c r="A40" s="5" t="s">
        <v>234</v>
      </c>
      <c r="B40" s="5" t="s">
        <v>13</v>
      </c>
      <c r="C40" s="2" t="s">
        <v>693</v>
      </c>
      <c r="D40" s="2" t="s">
        <v>694</v>
      </c>
      <c r="E40" s="2" t="s">
        <v>695</v>
      </c>
      <c r="F40" s="2" t="s">
        <v>696</v>
      </c>
      <c r="G40" s="2" t="s">
        <v>697</v>
      </c>
      <c r="H40" s="2" t="s">
        <v>698</v>
      </c>
      <c r="I40" s="2" t="s">
        <v>29</v>
      </c>
      <c r="K40" s="6" t="s">
        <v>19</v>
      </c>
    </row>
    <row r="41" spans="1:11" x14ac:dyDescent="0.25">
      <c r="A41" s="5" t="s">
        <v>234</v>
      </c>
      <c r="B41" s="5" t="s">
        <v>14</v>
      </c>
      <c r="C41" s="2" t="s">
        <v>699</v>
      </c>
      <c r="D41" s="2" t="s">
        <v>700</v>
      </c>
      <c r="E41" s="2" t="s">
        <v>701</v>
      </c>
      <c r="F41" s="2" t="s">
        <v>702</v>
      </c>
      <c r="G41" s="2" t="s">
        <v>703</v>
      </c>
      <c r="H41" s="2" t="s">
        <v>29</v>
      </c>
      <c r="K41" s="6" t="s">
        <v>16</v>
      </c>
    </row>
    <row r="42" spans="1:11" x14ac:dyDescent="0.25">
      <c r="A42" s="5" t="s">
        <v>234</v>
      </c>
      <c r="B42" s="5" t="s">
        <v>15</v>
      </c>
      <c r="C42" s="2" t="s">
        <v>704</v>
      </c>
      <c r="D42" s="2" t="s">
        <v>705</v>
      </c>
      <c r="E42" s="2" t="s">
        <v>706</v>
      </c>
      <c r="F42" s="2" t="s">
        <v>707</v>
      </c>
      <c r="G42" s="2" t="s">
        <v>708</v>
      </c>
      <c r="H42" s="2" t="s">
        <v>29</v>
      </c>
      <c r="K42" s="6" t="s">
        <v>435</v>
      </c>
    </row>
    <row r="43" spans="1:11" x14ac:dyDescent="0.25">
      <c r="A43" s="5" t="s">
        <v>234</v>
      </c>
      <c r="B43" s="5" t="s">
        <v>17</v>
      </c>
      <c r="C43" s="2" t="s">
        <v>709</v>
      </c>
      <c r="D43" s="2" t="s">
        <v>710</v>
      </c>
      <c r="E43" s="2" t="s">
        <v>711</v>
      </c>
      <c r="F43" s="2" t="s">
        <v>712</v>
      </c>
      <c r="G43" s="2" t="s">
        <v>713</v>
      </c>
      <c r="H43" s="2" t="s">
        <v>714</v>
      </c>
      <c r="I43" s="2" t="s">
        <v>29</v>
      </c>
      <c r="K43" s="6" t="s">
        <v>434</v>
      </c>
    </row>
    <row r="44" spans="1:11" x14ac:dyDescent="0.25">
      <c r="A44" s="5" t="s">
        <v>234</v>
      </c>
      <c r="B44" s="5" t="s">
        <v>18</v>
      </c>
      <c r="C44" s="2" t="s">
        <v>715</v>
      </c>
      <c r="D44" s="2" t="s">
        <v>716</v>
      </c>
      <c r="E44" s="2" t="s">
        <v>717</v>
      </c>
      <c r="F44" s="2" t="s">
        <v>718</v>
      </c>
      <c r="G44" s="2" t="s">
        <v>719</v>
      </c>
      <c r="H44" s="2" t="s">
        <v>29</v>
      </c>
      <c r="K44" s="6" t="s">
        <v>16</v>
      </c>
    </row>
    <row r="45" spans="1:11" x14ac:dyDescent="0.25">
      <c r="A45" s="5" t="s">
        <v>234</v>
      </c>
      <c r="B45" s="5" t="s">
        <v>20</v>
      </c>
      <c r="C45" s="2" t="s">
        <v>720</v>
      </c>
      <c r="D45" s="2" t="s">
        <v>721</v>
      </c>
      <c r="E45" s="2" t="s">
        <v>722</v>
      </c>
      <c r="F45" s="2" t="s">
        <v>723</v>
      </c>
      <c r="G45" s="2" t="s">
        <v>724</v>
      </c>
      <c r="H45" s="2" t="s">
        <v>29</v>
      </c>
      <c r="K45" s="6" t="s">
        <v>454</v>
      </c>
    </row>
    <row r="46" spans="1:11" x14ac:dyDescent="0.25">
      <c r="A46" s="5" t="s">
        <v>234</v>
      </c>
      <c r="B46" s="5" t="s">
        <v>22</v>
      </c>
      <c r="C46" s="2" t="s">
        <v>725</v>
      </c>
      <c r="D46" s="2" t="s">
        <v>726</v>
      </c>
      <c r="E46" s="2" t="s">
        <v>727</v>
      </c>
      <c r="F46" s="2" t="s">
        <v>728</v>
      </c>
      <c r="G46" s="2" t="s">
        <v>729</v>
      </c>
      <c r="H46" s="2" t="s">
        <v>710</v>
      </c>
      <c r="I46" s="2" t="s">
        <v>730</v>
      </c>
      <c r="J46" s="2" t="s">
        <v>29</v>
      </c>
      <c r="K46" s="6" t="s">
        <v>956</v>
      </c>
    </row>
    <row r="47" spans="1:11" x14ac:dyDescent="0.25">
      <c r="A47" s="5" t="s">
        <v>234</v>
      </c>
      <c r="B47" s="5" t="s">
        <v>23</v>
      </c>
      <c r="C47" s="2" t="s">
        <v>731</v>
      </c>
      <c r="D47" s="2" t="s">
        <v>732</v>
      </c>
      <c r="E47" s="2" t="s">
        <v>733</v>
      </c>
      <c r="F47" s="2" t="s">
        <v>734</v>
      </c>
      <c r="G47" s="2" t="s">
        <v>735</v>
      </c>
      <c r="H47" s="2" t="s">
        <v>736</v>
      </c>
      <c r="I47" s="2" t="s">
        <v>29</v>
      </c>
      <c r="K47" s="6" t="s">
        <v>435</v>
      </c>
    </row>
    <row r="48" spans="1:11" x14ac:dyDescent="0.25">
      <c r="A48" s="5" t="s">
        <v>234</v>
      </c>
      <c r="B48" s="5" t="s">
        <v>24</v>
      </c>
      <c r="C48" s="2" t="s">
        <v>737</v>
      </c>
      <c r="D48" s="2" t="s">
        <v>738</v>
      </c>
      <c r="E48" s="2" t="s">
        <v>739</v>
      </c>
      <c r="F48" s="2" t="s">
        <v>740</v>
      </c>
      <c r="G48" s="2" t="s">
        <v>741</v>
      </c>
      <c r="H48" s="2" t="s">
        <v>742</v>
      </c>
      <c r="I48" s="2" t="s">
        <v>29</v>
      </c>
      <c r="K48" s="6" t="s">
        <v>10</v>
      </c>
    </row>
    <row r="49" spans="1:11" x14ac:dyDescent="0.25">
      <c r="A49" s="5" t="s">
        <v>234</v>
      </c>
      <c r="B49" s="5" t="s">
        <v>25</v>
      </c>
      <c r="C49" s="2" t="s">
        <v>743</v>
      </c>
      <c r="D49" s="2" t="s">
        <v>738</v>
      </c>
      <c r="E49" s="2" t="s">
        <v>739</v>
      </c>
      <c r="F49" s="2" t="s">
        <v>740</v>
      </c>
      <c r="G49" s="2" t="s">
        <v>741</v>
      </c>
      <c r="H49" s="2" t="s">
        <v>742</v>
      </c>
      <c r="I49" s="2" t="s">
        <v>29</v>
      </c>
      <c r="K49" s="6" t="s">
        <v>12</v>
      </c>
    </row>
    <row r="50" spans="1:11" x14ac:dyDescent="0.25">
      <c r="A50" s="5" t="s">
        <v>234</v>
      </c>
      <c r="B50" s="5" t="s">
        <v>26</v>
      </c>
      <c r="C50" s="2" t="s">
        <v>744</v>
      </c>
      <c r="D50" s="2" t="s">
        <v>738</v>
      </c>
      <c r="E50" s="2" t="s">
        <v>739</v>
      </c>
      <c r="F50" s="2" t="s">
        <v>740</v>
      </c>
      <c r="G50" s="2" t="s">
        <v>741</v>
      </c>
      <c r="H50" s="2" t="s">
        <v>742</v>
      </c>
      <c r="I50" s="2" t="s">
        <v>29</v>
      </c>
      <c r="K50" s="6" t="s">
        <v>19</v>
      </c>
    </row>
    <row r="51" spans="1:11" x14ac:dyDescent="0.25">
      <c r="A51" s="5" t="s">
        <v>234</v>
      </c>
      <c r="B51" s="5" t="s">
        <v>27</v>
      </c>
      <c r="C51" s="2" t="s">
        <v>745</v>
      </c>
      <c r="D51" s="2" t="s">
        <v>746</v>
      </c>
      <c r="E51" s="2" t="s">
        <v>747</v>
      </c>
      <c r="F51" s="2" t="s">
        <v>748</v>
      </c>
      <c r="G51" s="2" t="s">
        <v>749</v>
      </c>
      <c r="H51" s="2" t="s">
        <v>29</v>
      </c>
      <c r="K51" s="6" t="s">
        <v>957</v>
      </c>
    </row>
    <row r="52" spans="1:11" x14ac:dyDescent="0.25">
      <c r="A52" s="5" t="s">
        <v>235</v>
      </c>
      <c r="B52" s="5" t="s">
        <v>9</v>
      </c>
      <c r="C52" s="2" t="s">
        <v>750</v>
      </c>
      <c r="D52" s="2" t="s">
        <v>751</v>
      </c>
      <c r="E52" s="2" t="s">
        <v>752</v>
      </c>
      <c r="F52" s="2" t="s">
        <v>687</v>
      </c>
      <c r="G52" s="2" t="s">
        <v>753</v>
      </c>
      <c r="H52" s="2" t="s">
        <v>29</v>
      </c>
      <c r="K52" s="6" t="s">
        <v>446</v>
      </c>
    </row>
    <row r="53" spans="1:11" x14ac:dyDescent="0.25">
      <c r="A53" s="5" t="s">
        <v>235</v>
      </c>
      <c r="B53" s="5" t="s">
        <v>11</v>
      </c>
      <c r="C53" s="2" t="s">
        <v>754</v>
      </c>
      <c r="D53" s="2" t="s">
        <v>755</v>
      </c>
      <c r="E53" s="2" t="s">
        <v>756</v>
      </c>
      <c r="F53" s="2" t="s">
        <v>757</v>
      </c>
      <c r="G53" s="2" t="s">
        <v>758</v>
      </c>
      <c r="H53" s="2" t="s">
        <v>29</v>
      </c>
      <c r="K53" s="6" t="s">
        <v>16</v>
      </c>
    </row>
    <row r="54" spans="1:11" x14ac:dyDescent="0.25">
      <c r="A54" s="5" t="s">
        <v>235</v>
      </c>
      <c r="B54" s="5" t="s">
        <v>13</v>
      </c>
      <c r="C54" s="2" t="s">
        <v>759</v>
      </c>
      <c r="D54" s="2" t="s">
        <v>755</v>
      </c>
      <c r="E54" s="2" t="s">
        <v>756</v>
      </c>
      <c r="F54" s="2" t="s">
        <v>760</v>
      </c>
      <c r="G54" s="2" t="s">
        <v>761</v>
      </c>
      <c r="H54" s="2" t="s">
        <v>29</v>
      </c>
      <c r="K54" s="6" t="s">
        <v>12</v>
      </c>
    </row>
    <row r="55" spans="1:11" x14ac:dyDescent="0.25">
      <c r="A55" s="5" t="s">
        <v>235</v>
      </c>
      <c r="B55" s="5" t="s">
        <v>14</v>
      </c>
      <c r="C55" s="2" t="s">
        <v>762</v>
      </c>
      <c r="D55" s="2" t="s">
        <v>755</v>
      </c>
      <c r="E55" s="2" t="s">
        <v>756</v>
      </c>
      <c r="F55" s="2" t="s">
        <v>760</v>
      </c>
      <c r="G55" s="2" t="s">
        <v>761</v>
      </c>
      <c r="H55" s="2" t="s">
        <v>29</v>
      </c>
      <c r="K55" s="6" t="s">
        <v>19</v>
      </c>
    </row>
    <row r="56" spans="1:11" x14ac:dyDescent="0.25">
      <c r="A56" s="5" t="s">
        <v>235</v>
      </c>
      <c r="B56" s="5" t="s">
        <v>15</v>
      </c>
      <c r="C56" s="2" t="s">
        <v>763</v>
      </c>
      <c r="D56" s="2" t="s">
        <v>764</v>
      </c>
      <c r="E56" s="2" t="s">
        <v>765</v>
      </c>
      <c r="F56" s="2" t="s">
        <v>766</v>
      </c>
      <c r="G56" s="2" t="s">
        <v>767</v>
      </c>
      <c r="H56" s="2" t="s">
        <v>768</v>
      </c>
      <c r="I56" s="2" t="s">
        <v>29</v>
      </c>
      <c r="K56" s="6" t="s">
        <v>958</v>
      </c>
    </row>
    <row r="57" spans="1:11" x14ac:dyDescent="0.25">
      <c r="A57" s="5" t="s">
        <v>235</v>
      </c>
      <c r="B57" s="5" t="s">
        <v>17</v>
      </c>
      <c r="C57" s="2" t="s">
        <v>769</v>
      </c>
      <c r="D57" s="2" t="s">
        <v>770</v>
      </c>
      <c r="E57" s="2" t="s">
        <v>771</v>
      </c>
      <c r="F57" s="2" t="s">
        <v>772</v>
      </c>
      <c r="G57" s="2" t="s">
        <v>773</v>
      </c>
      <c r="H57" s="2" t="s">
        <v>774</v>
      </c>
      <c r="I57" s="2" t="s">
        <v>29</v>
      </c>
      <c r="K57" s="6" t="s">
        <v>959</v>
      </c>
    </row>
    <row r="58" spans="1:11" x14ac:dyDescent="0.25">
      <c r="A58" s="5" t="s">
        <v>235</v>
      </c>
      <c r="B58" s="5" t="s">
        <v>18</v>
      </c>
      <c r="C58" s="2" t="s">
        <v>775</v>
      </c>
      <c r="D58" s="2" t="s">
        <v>776</v>
      </c>
      <c r="E58" s="2" t="s">
        <v>777</v>
      </c>
      <c r="F58" s="2" t="s">
        <v>778</v>
      </c>
      <c r="G58" s="2" t="s">
        <v>779</v>
      </c>
      <c r="H58" s="2" t="s">
        <v>29</v>
      </c>
      <c r="K58" s="6" t="s">
        <v>19</v>
      </c>
    </row>
    <row r="59" spans="1:11" x14ac:dyDescent="0.25">
      <c r="A59" s="5" t="s">
        <v>235</v>
      </c>
      <c r="B59" s="5" t="s">
        <v>20</v>
      </c>
      <c r="C59" s="2" t="s">
        <v>780</v>
      </c>
      <c r="D59" s="2" t="s">
        <v>781</v>
      </c>
      <c r="E59" s="2" t="s">
        <v>782</v>
      </c>
      <c r="F59" s="2" t="s">
        <v>783</v>
      </c>
      <c r="G59" s="2" t="s">
        <v>784</v>
      </c>
      <c r="H59" s="2" t="s">
        <v>785</v>
      </c>
      <c r="I59" s="2" t="s">
        <v>786</v>
      </c>
      <c r="J59" s="2" t="s">
        <v>29</v>
      </c>
      <c r="K59" s="6" t="s">
        <v>960</v>
      </c>
    </row>
    <row r="60" spans="1:11" x14ac:dyDescent="0.25">
      <c r="A60" s="5" t="s">
        <v>235</v>
      </c>
      <c r="B60" s="5" t="s">
        <v>22</v>
      </c>
      <c r="C60" s="2" t="s">
        <v>787</v>
      </c>
      <c r="D60" s="2" t="s">
        <v>788</v>
      </c>
      <c r="E60" s="2" t="s">
        <v>789</v>
      </c>
      <c r="F60" s="2" t="s">
        <v>790</v>
      </c>
      <c r="G60" s="2" t="s">
        <v>791</v>
      </c>
      <c r="H60" s="2" t="s">
        <v>792</v>
      </c>
      <c r="I60" s="2" t="s">
        <v>29</v>
      </c>
      <c r="K60" s="6" t="s">
        <v>19</v>
      </c>
    </row>
    <row r="61" spans="1:11" x14ac:dyDescent="0.25">
      <c r="A61" s="5" t="s">
        <v>235</v>
      </c>
      <c r="B61" s="5" t="s">
        <v>23</v>
      </c>
      <c r="C61" s="2" t="s">
        <v>793</v>
      </c>
      <c r="D61" s="2" t="s">
        <v>794</v>
      </c>
      <c r="E61" s="2" t="s">
        <v>795</v>
      </c>
      <c r="F61" s="2" t="s">
        <v>796</v>
      </c>
      <c r="G61" s="2" t="s">
        <v>797</v>
      </c>
      <c r="H61" s="2" t="s">
        <v>798</v>
      </c>
      <c r="I61" s="2" t="s">
        <v>29</v>
      </c>
      <c r="K61" s="6" t="s">
        <v>12</v>
      </c>
    </row>
    <row r="62" spans="1:11" x14ac:dyDescent="0.25">
      <c r="A62" s="5" t="s">
        <v>235</v>
      </c>
      <c r="B62" s="5" t="s">
        <v>24</v>
      </c>
      <c r="C62" s="2" t="s">
        <v>799</v>
      </c>
      <c r="D62" s="2" t="s">
        <v>800</v>
      </c>
      <c r="E62" s="2" t="s">
        <v>801</v>
      </c>
      <c r="F62" s="2" t="s">
        <v>802</v>
      </c>
      <c r="G62" s="2" t="s">
        <v>803</v>
      </c>
      <c r="H62" s="2" t="s">
        <v>804</v>
      </c>
      <c r="I62" s="2" t="s">
        <v>29</v>
      </c>
      <c r="K62" s="6" t="s">
        <v>21</v>
      </c>
    </row>
    <row r="63" spans="1:11" x14ac:dyDescent="0.25">
      <c r="A63" s="5" t="s">
        <v>235</v>
      </c>
      <c r="B63" s="5" t="s">
        <v>25</v>
      </c>
      <c r="C63" s="2" t="s">
        <v>805</v>
      </c>
      <c r="D63" s="2" t="s">
        <v>806</v>
      </c>
      <c r="E63" s="2" t="s">
        <v>807</v>
      </c>
      <c r="F63" s="2" t="s">
        <v>808</v>
      </c>
      <c r="G63" s="2" t="s">
        <v>809</v>
      </c>
      <c r="H63" s="2" t="s">
        <v>29</v>
      </c>
      <c r="K63" s="6" t="s">
        <v>19</v>
      </c>
    </row>
    <row r="64" spans="1:11" x14ac:dyDescent="0.25">
      <c r="A64" s="5" t="s">
        <v>236</v>
      </c>
      <c r="B64" s="5" t="s">
        <v>9</v>
      </c>
      <c r="C64" s="2" t="s">
        <v>810</v>
      </c>
      <c r="D64" s="2" t="s">
        <v>811</v>
      </c>
      <c r="E64" s="2" t="s">
        <v>812</v>
      </c>
      <c r="F64" s="2" t="s">
        <v>813</v>
      </c>
      <c r="G64" s="2" t="s">
        <v>814</v>
      </c>
      <c r="H64" s="2" t="s">
        <v>815</v>
      </c>
      <c r="I64" s="2" t="s">
        <v>29</v>
      </c>
      <c r="K64" s="6" t="s">
        <v>19</v>
      </c>
    </row>
    <row r="65" spans="1:12" x14ac:dyDescent="0.25">
      <c r="A65" s="5" t="s">
        <v>236</v>
      </c>
      <c r="B65" s="5" t="s">
        <v>11</v>
      </c>
      <c r="C65" s="2" t="s">
        <v>816</v>
      </c>
      <c r="D65" s="2" t="s">
        <v>817</v>
      </c>
      <c r="E65" s="2" t="s">
        <v>818</v>
      </c>
      <c r="F65" s="2" t="s">
        <v>819</v>
      </c>
      <c r="G65" s="2" t="s">
        <v>820</v>
      </c>
      <c r="H65" s="2" t="s">
        <v>821</v>
      </c>
      <c r="I65" s="2" t="s">
        <v>29</v>
      </c>
      <c r="K65" s="6" t="s">
        <v>10</v>
      </c>
    </row>
    <row r="66" spans="1:12" x14ac:dyDescent="0.25">
      <c r="A66" s="5" t="s">
        <v>236</v>
      </c>
      <c r="B66" s="5" t="s">
        <v>13</v>
      </c>
      <c r="C66" s="2" t="s">
        <v>822</v>
      </c>
      <c r="D66" s="2" t="s">
        <v>823</v>
      </c>
      <c r="E66" s="2" t="s">
        <v>824</v>
      </c>
      <c r="F66" s="2" t="s">
        <v>825</v>
      </c>
      <c r="G66" s="2" t="s">
        <v>826</v>
      </c>
      <c r="H66" s="2" t="s">
        <v>29</v>
      </c>
      <c r="K66" s="6" t="s">
        <v>10</v>
      </c>
    </row>
    <row r="67" spans="1:12" x14ac:dyDescent="0.25">
      <c r="A67" s="5" t="s">
        <v>236</v>
      </c>
      <c r="B67" s="5" t="s">
        <v>14</v>
      </c>
      <c r="C67" s="2" t="s">
        <v>827</v>
      </c>
      <c r="D67" s="2" t="s">
        <v>828</v>
      </c>
      <c r="E67" s="2" t="s">
        <v>829</v>
      </c>
      <c r="F67" s="2" t="s">
        <v>830</v>
      </c>
      <c r="G67" s="2" t="s">
        <v>831</v>
      </c>
      <c r="H67" s="2" t="s">
        <v>29</v>
      </c>
      <c r="K67" s="6" t="s">
        <v>446</v>
      </c>
    </row>
    <row r="68" spans="1:12" x14ac:dyDescent="0.25">
      <c r="A68" s="5" t="s">
        <v>236</v>
      </c>
      <c r="B68" s="5" t="s">
        <v>15</v>
      </c>
      <c r="C68" s="2" t="s">
        <v>832</v>
      </c>
      <c r="D68" s="2" t="s">
        <v>833</v>
      </c>
      <c r="E68" s="2" t="s">
        <v>834</v>
      </c>
      <c r="F68" s="2" t="s">
        <v>835</v>
      </c>
      <c r="G68" s="2" t="s">
        <v>836</v>
      </c>
      <c r="H68" s="2" t="s">
        <v>29</v>
      </c>
      <c r="K68" s="6" t="s">
        <v>19</v>
      </c>
    </row>
    <row r="69" spans="1:12" x14ac:dyDescent="0.25">
      <c r="A69" s="5" t="s">
        <v>236</v>
      </c>
      <c r="B69" s="5" t="s">
        <v>17</v>
      </c>
      <c r="C69" s="2" t="s">
        <v>837</v>
      </c>
      <c r="D69" s="2" t="s">
        <v>838</v>
      </c>
      <c r="E69" s="2" t="s">
        <v>839</v>
      </c>
      <c r="F69" s="2" t="s">
        <v>840</v>
      </c>
      <c r="G69" s="2" t="s">
        <v>841</v>
      </c>
      <c r="H69" s="2" t="s">
        <v>842</v>
      </c>
      <c r="I69" s="2" t="s">
        <v>29</v>
      </c>
      <c r="K69" s="16" t="s">
        <v>442</v>
      </c>
      <c r="L69" s="2" t="s">
        <v>1149</v>
      </c>
    </row>
    <row r="70" spans="1:12" x14ac:dyDescent="0.25">
      <c r="A70" s="5" t="s">
        <v>236</v>
      </c>
      <c r="B70" s="5" t="s">
        <v>18</v>
      </c>
      <c r="C70" s="2" t="s">
        <v>843</v>
      </c>
      <c r="D70" s="2" t="s">
        <v>844</v>
      </c>
      <c r="E70" s="2" t="s">
        <v>845</v>
      </c>
      <c r="F70" s="2" t="s">
        <v>846</v>
      </c>
      <c r="G70" s="2" t="s">
        <v>847</v>
      </c>
      <c r="H70" s="2" t="s">
        <v>29</v>
      </c>
      <c r="K70" s="6" t="s">
        <v>19</v>
      </c>
    </row>
    <row r="71" spans="1:12" x14ac:dyDescent="0.25">
      <c r="A71" s="5" t="s">
        <v>236</v>
      </c>
      <c r="B71" s="5" t="s">
        <v>20</v>
      </c>
      <c r="C71" s="2" t="s">
        <v>848</v>
      </c>
      <c r="D71" s="2" t="s">
        <v>849</v>
      </c>
      <c r="E71" s="2" t="s">
        <v>850</v>
      </c>
      <c r="F71" s="2" t="s">
        <v>851</v>
      </c>
      <c r="G71" s="2" t="s">
        <v>852</v>
      </c>
      <c r="H71" s="2" t="s">
        <v>29</v>
      </c>
      <c r="K71" s="6" t="s">
        <v>10</v>
      </c>
    </row>
    <row r="72" spans="1:12" x14ac:dyDescent="0.25">
      <c r="A72" s="5" t="s">
        <v>236</v>
      </c>
      <c r="B72" s="5" t="s">
        <v>22</v>
      </c>
      <c r="C72" s="2" t="s">
        <v>853</v>
      </c>
      <c r="D72" s="2" t="s">
        <v>854</v>
      </c>
      <c r="E72" s="2" t="s">
        <v>855</v>
      </c>
      <c r="F72" s="2" t="s">
        <v>856</v>
      </c>
      <c r="G72" s="2" t="s">
        <v>857</v>
      </c>
      <c r="H72" s="2" t="s">
        <v>29</v>
      </c>
      <c r="K72" s="6" t="s">
        <v>19</v>
      </c>
    </row>
    <row r="73" spans="1:12" x14ac:dyDescent="0.25">
      <c r="A73" s="5" t="s">
        <v>236</v>
      </c>
      <c r="B73" s="5" t="s">
        <v>23</v>
      </c>
      <c r="C73" s="2" t="s">
        <v>858</v>
      </c>
      <c r="D73" s="2" t="s">
        <v>859</v>
      </c>
      <c r="E73" s="2" t="s">
        <v>722</v>
      </c>
      <c r="F73" s="2" t="s">
        <v>723</v>
      </c>
      <c r="G73" s="2" t="s">
        <v>860</v>
      </c>
      <c r="H73" s="2" t="s">
        <v>29</v>
      </c>
      <c r="K73" s="6" t="s">
        <v>16</v>
      </c>
    </row>
    <row r="74" spans="1:12" x14ac:dyDescent="0.25">
      <c r="A74" s="5" t="s">
        <v>236</v>
      </c>
      <c r="B74" s="5" t="s">
        <v>24</v>
      </c>
      <c r="C74" s="2" t="s">
        <v>861</v>
      </c>
      <c r="D74" s="2" t="s">
        <v>862</v>
      </c>
      <c r="E74" s="2" t="s">
        <v>863</v>
      </c>
      <c r="F74" s="2" t="s">
        <v>864</v>
      </c>
      <c r="G74" s="2" t="s">
        <v>865</v>
      </c>
      <c r="H74" s="2" t="s">
        <v>29</v>
      </c>
      <c r="K74" s="6" t="s">
        <v>16</v>
      </c>
    </row>
    <row r="75" spans="1:12" x14ac:dyDescent="0.25">
      <c r="A75" s="5" t="s">
        <v>236</v>
      </c>
      <c r="B75" s="5" t="s">
        <v>25</v>
      </c>
      <c r="C75" s="2" t="s">
        <v>866</v>
      </c>
      <c r="D75" s="2" t="s">
        <v>867</v>
      </c>
      <c r="E75" s="2" t="s">
        <v>778</v>
      </c>
      <c r="F75" s="2" t="s">
        <v>868</v>
      </c>
      <c r="G75" s="2" t="s">
        <v>869</v>
      </c>
      <c r="H75" s="2" t="s">
        <v>29</v>
      </c>
      <c r="K75" s="6" t="s">
        <v>16</v>
      </c>
    </row>
    <row r="76" spans="1:12" x14ac:dyDescent="0.25">
      <c r="A76" s="5" t="s">
        <v>236</v>
      </c>
      <c r="B76" s="5" t="s">
        <v>26</v>
      </c>
      <c r="C76" s="2" t="s">
        <v>870</v>
      </c>
      <c r="D76" s="2" t="s">
        <v>871</v>
      </c>
      <c r="E76" s="2" t="s">
        <v>872</v>
      </c>
      <c r="F76" s="2" t="s">
        <v>873</v>
      </c>
      <c r="G76" s="2" t="s">
        <v>874</v>
      </c>
      <c r="H76" s="2" t="s">
        <v>29</v>
      </c>
      <c r="K76" s="16" t="s">
        <v>16</v>
      </c>
      <c r="L76" s="2" t="s">
        <v>1150</v>
      </c>
    </row>
    <row r="77" spans="1:12" x14ac:dyDescent="0.25">
      <c r="A77" s="5" t="s">
        <v>236</v>
      </c>
      <c r="B77" s="5" t="s">
        <v>27</v>
      </c>
      <c r="C77" s="2" t="s">
        <v>875</v>
      </c>
      <c r="D77" s="2" t="s">
        <v>876</v>
      </c>
      <c r="E77" s="2" t="s">
        <v>877</v>
      </c>
      <c r="F77" s="2" t="s">
        <v>878</v>
      </c>
      <c r="G77" s="2" t="s">
        <v>879</v>
      </c>
      <c r="H77" s="2" t="s">
        <v>29</v>
      </c>
      <c r="K77" s="6" t="s">
        <v>16</v>
      </c>
    </row>
    <row r="78" spans="1:12" x14ac:dyDescent="0.25">
      <c r="A78" s="5" t="s">
        <v>236</v>
      </c>
      <c r="B78" s="5" t="s">
        <v>954</v>
      </c>
      <c r="C78" s="2" t="s">
        <v>880</v>
      </c>
      <c r="D78" s="2" t="s">
        <v>881</v>
      </c>
      <c r="E78" s="2" t="s">
        <v>882</v>
      </c>
      <c r="F78" s="2" t="s">
        <v>883</v>
      </c>
      <c r="G78" s="2" t="s">
        <v>884</v>
      </c>
      <c r="H78" s="2" t="s">
        <v>885</v>
      </c>
      <c r="I78" s="2" t="s">
        <v>29</v>
      </c>
      <c r="K78" s="16" t="s">
        <v>961</v>
      </c>
      <c r="L78" s="2" t="s">
        <v>1151</v>
      </c>
    </row>
    <row r="79" spans="1:12" x14ac:dyDescent="0.25">
      <c r="A79" s="5" t="s">
        <v>236</v>
      </c>
      <c r="B79" s="5" t="s">
        <v>955</v>
      </c>
      <c r="C79" s="2" t="s">
        <v>886</v>
      </c>
      <c r="D79" s="2" t="s">
        <v>887</v>
      </c>
      <c r="E79" s="2" t="s">
        <v>888</v>
      </c>
      <c r="F79" s="2" t="s">
        <v>889</v>
      </c>
      <c r="G79" s="2" t="s">
        <v>890</v>
      </c>
      <c r="H79" s="2" t="s">
        <v>29</v>
      </c>
      <c r="K79" s="6" t="s">
        <v>19</v>
      </c>
    </row>
    <row r="80" spans="1:12" x14ac:dyDescent="0.25">
      <c r="A80" s="5" t="s">
        <v>41</v>
      </c>
      <c r="B80" s="5" t="s">
        <v>9</v>
      </c>
      <c r="C80" s="2" t="s">
        <v>891</v>
      </c>
      <c r="D80" s="2" t="s">
        <v>892</v>
      </c>
      <c r="E80" s="2" t="s">
        <v>893</v>
      </c>
      <c r="F80" s="2" t="s">
        <v>894</v>
      </c>
      <c r="G80" s="2" t="s">
        <v>895</v>
      </c>
      <c r="H80" s="2" t="s">
        <v>896</v>
      </c>
      <c r="I80" s="2" t="s">
        <v>897</v>
      </c>
      <c r="J80" s="2" t="s">
        <v>29</v>
      </c>
      <c r="K80" s="6" t="s">
        <v>16</v>
      </c>
    </row>
    <row r="81" spans="1:12" x14ac:dyDescent="0.25">
      <c r="A81" s="5" t="s">
        <v>41</v>
      </c>
      <c r="B81" s="5" t="s">
        <v>11</v>
      </c>
      <c r="C81" s="2" t="s">
        <v>880</v>
      </c>
      <c r="D81" s="2" t="s">
        <v>881</v>
      </c>
      <c r="E81" s="2" t="s">
        <v>882</v>
      </c>
      <c r="F81" s="2" t="s">
        <v>883</v>
      </c>
      <c r="G81" s="2" t="s">
        <v>884</v>
      </c>
      <c r="H81" s="2" t="s">
        <v>885</v>
      </c>
      <c r="I81" s="2" t="s">
        <v>29</v>
      </c>
      <c r="K81" s="16" t="s">
        <v>961</v>
      </c>
      <c r="L81" s="2" t="s">
        <v>1151</v>
      </c>
    </row>
    <row r="82" spans="1:12" x14ac:dyDescent="0.25">
      <c r="A82" s="5" t="s">
        <v>41</v>
      </c>
      <c r="B82" s="5" t="s">
        <v>13</v>
      </c>
      <c r="C82" s="2" t="s">
        <v>898</v>
      </c>
      <c r="D82" s="2" t="s">
        <v>899</v>
      </c>
      <c r="E82" s="2" t="s">
        <v>900</v>
      </c>
      <c r="F82" s="2" t="s">
        <v>901</v>
      </c>
      <c r="G82" s="2" t="s">
        <v>902</v>
      </c>
      <c r="H82" s="2" t="s">
        <v>29</v>
      </c>
      <c r="K82" s="6" t="s">
        <v>21</v>
      </c>
    </row>
    <row r="83" spans="1:12" x14ac:dyDescent="0.25">
      <c r="A83" s="5" t="s">
        <v>41</v>
      </c>
      <c r="B83" s="5" t="s">
        <v>14</v>
      </c>
      <c r="C83" s="2" t="s">
        <v>903</v>
      </c>
      <c r="D83" s="2" t="s">
        <v>904</v>
      </c>
      <c r="E83" s="2" t="s">
        <v>849</v>
      </c>
      <c r="F83" s="2" t="s">
        <v>850</v>
      </c>
      <c r="G83" s="2" t="s">
        <v>905</v>
      </c>
      <c r="H83" s="2" t="s">
        <v>29</v>
      </c>
      <c r="K83" s="6" t="s">
        <v>19</v>
      </c>
    </row>
    <row r="84" spans="1:12" x14ac:dyDescent="0.25">
      <c r="A84" s="5" t="s">
        <v>41</v>
      </c>
      <c r="B84" s="5" t="s">
        <v>15</v>
      </c>
      <c r="C84" s="2" t="s">
        <v>906</v>
      </c>
      <c r="D84" s="2" t="s">
        <v>907</v>
      </c>
      <c r="E84" s="2" t="s">
        <v>908</v>
      </c>
      <c r="F84" s="2" t="s">
        <v>909</v>
      </c>
      <c r="G84" s="2" t="s">
        <v>910</v>
      </c>
      <c r="H84" s="2" t="s">
        <v>911</v>
      </c>
      <c r="I84" s="2" t="s">
        <v>29</v>
      </c>
      <c r="K84" s="6" t="s">
        <v>10</v>
      </c>
    </row>
    <row r="85" spans="1:12" x14ac:dyDescent="0.25">
      <c r="A85" s="5" t="s">
        <v>41</v>
      </c>
      <c r="B85" s="5" t="s">
        <v>17</v>
      </c>
      <c r="C85" s="2" t="s">
        <v>912</v>
      </c>
      <c r="D85" s="2" t="s">
        <v>913</v>
      </c>
      <c r="E85" s="2" t="s">
        <v>914</v>
      </c>
      <c r="F85" s="2" t="s">
        <v>915</v>
      </c>
      <c r="G85" s="2" t="s">
        <v>839</v>
      </c>
      <c r="H85" s="2" t="s">
        <v>916</v>
      </c>
      <c r="I85" s="2" t="s">
        <v>29</v>
      </c>
      <c r="K85" s="6" t="s">
        <v>446</v>
      </c>
    </row>
    <row r="86" spans="1:12" x14ac:dyDescent="0.25">
      <c r="A86" s="5" t="s">
        <v>41</v>
      </c>
      <c r="B86" s="5" t="s">
        <v>18</v>
      </c>
      <c r="C86" s="2" t="s">
        <v>917</v>
      </c>
      <c r="D86" s="2" t="s">
        <v>918</v>
      </c>
      <c r="E86" s="2" t="s">
        <v>919</v>
      </c>
      <c r="F86" s="2" t="s">
        <v>920</v>
      </c>
      <c r="G86" s="2" t="s">
        <v>921</v>
      </c>
      <c r="H86" s="2" t="s">
        <v>922</v>
      </c>
      <c r="I86" s="2" t="s">
        <v>29</v>
      </c>
      <c r="K86" s="6" t="s">
        <v>16</v>
      </c>
    </row>
    <row r="87" spans="1:12" x14ac:dyDescent="0.25">
      <c r="A87" s="5" t="s">
        <v>41</v>
      </c>
      <c r="B87" s="5" t="s">
        <v>20</v>
      </c>
      <c r="C87" s="2" t="s">
        <v>923</v>
      </c>
      <c r="D87" s="2" t="s">
        <v>764</v>
      </c>
      <c r="E87" s="2" t="s">
        <v>924</v>
      </c>
      <c r="F87" s="2" t="s">
        <v>925</v>
      </c>
      <c r="G87" s="2" t="s">
        <v>926</v>
      </c>
      <c r="H87" s="2" t="s">
        <v>927</v>
      </c>
      <c r="I87" s="2" t="s">
        <v>29</v>
      </c>
      <c r="K87" s="6" t="s">
        <v>21</v>
      </c>
    </row>
    <row r="88" spans="1:12" x14ac:dyDescent="0.25">
      <c r="A88" s="5" t="s">
        <v>41</v>
      </c>
      <c r="B88" s="5" t="s">
        <v>22</v>
      </c>
      <c r="C88" s="2" t="s">
        <v>928</v>
      </c>
      <c r="D88" s="2" t="s">
        <v>929</v>
      </c>
      <c r="E88" s="2" t="s">
        <v>930</v>
      </c>
      <c r="F88" s="2" t="s">
        <v>931</v>
      </c>
      <c r="G88" s="2" t="s">
        <v>932</v>
      </c>
      <c r="H88" s="2" t="s">
        <v>29</v>
      </c>
      <c r="K88" s="6" t="s">
        <v>16</v>
      </c>
    </row>
    <row r="89" spans="1:12" x14ac:dyDescent="0.25">
      <c r="A89" s="5" t="s">
        <v>41</v>
      </c>
      <c r="B89" s="5" t="s">
        <v>23</v>
      </c>
      <c r="C89" s="2" t="s">
        <v>933</v>
      </c>
      <c r="D89" s="2" t="s">
        <v>934</v>
      </c>
      <c r="E89" s="2" t="s">
        <v>935</v>
      </c>
      <c r="F89" s="2" t="s">
        <v>936</v>
      </c>
      <c r="G89" s="2" t="s">
        <v>937</v>
      </c>
      <c r="H89" s="2" t="s">
        <v>29</v>
      </c>
      <c r="K89" s="6" t="s">
        <v>446</v>
      </c>
    </row>
    <row r="90" spans="1:12" x14ac:dyDescent="0.25">
      <c r="A90" s="5" t="s">
        <v>41</v>
      </c>
      <c r="B90" s="5" t="s">
        <v>24</v>
      </c>
      <c r="C90" s="2" t="s">
        <v>938</v>
      </c>
      <c r="D90" s="2" t="s">
        <v>939</v>
      </c>
      <c r="E90" s="2" t="s">
        <v>940</v>
      </c>
      <c r="F90" s="2" t="s">
        <v>941</v>
      </c>
      <c r="G90" s="2" t="s">
        <v>942</v>
      </c>
      <c r="H90" s="2" t="s">
        <v>29</v>
      </c>
      <c r="K90" s="6" t="s">
        <v>12</v>
      </c>
    </row>
    <row r="91" spans="1:12" x14ac:dyDescent="0.25">
      <c r="A91" s="5" t="s">
        <v>41</v>
      </c>
      <c r="B91" s="5" t="s">
        <v>25</v>
      </c>
      <c r="C91" s="2" t="s">
        <v>943</v>
      </c>
      <c r="D91" s="2" t="s">
        <v>944</v>
      </c>
      <c r="E91" s="2" t="s">
        <v>945</v>
      </c>
      <c r="F91" s="2" t="s">
        <v>946</v>
      </c>
      <c r="G91" s="2" t="s">
        <v>947</v>
      </c>
      <c r="H91" s="2" t="s">
        <v>948</v>
      </c>
      <c r="I91" s="2" t="s">
        <v>29</v>
      </c>
      <c r="K91" s="6" t="s">
        <v>16</v>
      </c>
    </row>
    <row r="92" spans="1:12" x14ac:dyDescent="0.25">
      <c r="A92" s="5" t="s">
        <v>41</v>
      </c>
      <c r="B92" s="5" t="s">
        <v>26</v>
      </c>
      <c r="C92" s="2" t="s">
        <v>949</v>
      </c>
      <c r="D92" s="2" t="s">
        <v>950</v>
      </c>
      <c r="E92" s="2" t="s">
        <v>951</v>
      </c>
      <c r="F92" s="2" t="s">
        <v>952</v>
      </c>
      <c r="G92" s="2" t="s">
        <v>953</v>
      </c>
      <c r="H92" s="2" t="s">
        <v>29</v>
      </c>
      <c r="K92" s="6" t="s">
        <v>16</v>
      </c>
    </row>
    <row r="93" spans="1:12" x14ac:dyDescent="0.25">
      <c r="A93" s="5" t="s">
        <v>42</v>
      </c>
      <c r="B93" s="5" t="s">
        <v>9</v>
      </c>
      <c r="C93" s="2" t="s">
        <v>962</v>
      </c>
      <c r="D93" s="2" t="s">
        <v>963</v>
      </c>
      <c r="E93" s="2" t="s">
        <v>964</v>
      </c>
      <c r="F93" s="2" t="s">
        <v>965</v>
      </c>
      <c r="G93" s="2" t="s">
        <v>966</v>
      </c>
      <c r="H93" s="2" t="s">
        <v>29</v>
      </c>
      <c r="K93" s="6" t="s">
        <v>455</v>
      </c>
    </row>
    <row r="94" spans="1:12" x14ac:dyDescent="0.25">
      <c r="A94" s="5" t="s">
        <v>42</v>
      </c>
      <c r="B94" s="5" t="s">
        <v>11</v>
      </c>
      <c r="C94" s="2" t="s">
        <v>967</v>
      </c>
      <c r="D94" s="2" t="s">
        <v>968</v>
      </c>
      <c r="E94" s="2" t="s">
        <v>969</v>
      </c>
      <c r="F94" s="2" t="s">
        <v>970</v>
      </c>
      <c r="G94" s="2" t="s">
        <v>971</v>
      </c>
      <c r="H94" s="2" t="s">
        <v>29</v>
      </c>
      <c r="K94" s="6" t="s">
        <v>16</v>
      </c>
    </row>
    <row r="95" spans="1:12" x14ac:dyDescent="0.25">
      <c r="A95" s="5" t="s">
        <v>42</v>
      </c>
      <c r="B95" s="5" t="s">
        <v>13</v>
      </c>
      <c r="C95" s="2" t="s">
        <v>972</v>
      </c>
      <c r="D95" s="2" t="s">
        <v>973</v>
      </c>
      <c r="E95" s="2" t="s">
        <v>974</v>
      </c>
      <c r="F95" s="2" t="s">
        <v>975</v>
      </c>
      <c r="G95" s="2" t="s">
        <v>976</v>
      </c>
      <c r="H95" s="2" t="s">
        <v>29</v>
      </c>
      <c r="K95" s="6" t="s">
        <v>19</v>
      </c>
    </row>
    <row r="96" spans="1:12" x14ac:dyDescent="0.25">
      <c r="A96" s="5" t="s">
        <v>42</v>
      </c>
      <c r="B96" s="5" t="s">
        <v>14</v>
      </c>
      <c r="C96" s="2" t="s">
        <v>977</v>
      </c>
      <c r="D96" s="2" t="s">
        <v>978</v>
      </c>
      <c r="E96" s="2" t="s">
        <v>979</v>
      </c>
      <c r="F96" s="2" t="s">
        <v>980</v>
      </c>
      <c r="G96" s="2" t="s">
        <v>981</v>
      </c>
      <c r="H96" s="2" t="s">
        <v>29</v>
      </c>
      <c r="K96" s="6" t="s">
        <v>10</v>
      </c>
    </row>
    <row r="97" spans="1:11" x14ac:dyDescent="0.25">
      <c r="A97" s="5" t="s">
        <v>42</v>
      </c>
      <c r="B97" s="5" t="s">
        <v>15</v>
      </c>
      <c r="C97" s="2" t="s">
        <v>982</v>
      </c>
      <c r="D97" s="2" t="s">
        <v>839</v>
      </c>
      <c r="E97" s="2" t="s">
        <v>983</v>
      </c>
      <c r="F97" s="2" t="s">
        <v>984</v>
      </c>
      <c r="G97" s="2" t="s">
        <v>985</v>
      </c>
      <c r="H97" s="2" t="s">
        <v>29</v>
      </c>
      <c r="K97" s="6" t="s">
        <v>16</v>
      </c>
    </row>
    <row r="98" spans="1:11" x14ac:dyDescent="0.25">
      <c r="A98" s="5" t="s">
        <v>42</v>
      </c>
      <c r="B98" s="5" t="s">
        <v>17</v>
      </c>
      <c r="C98" s="2" t="s">
        <v>986</v>
      </c>
      <c r="D98" s="2" t="s">
        <v>987</v>
      </c>
      <c r="E98" s="2" t="s">
        <v>988</v>
      </c>
      <c r="F98" s="2" t="s">
        <v>989</v>
      </c>
      <c r="G98" s="2" t="s">
        <v>990</v>
      </c>
      <c r="H98" s="2" t="s">
        <v>991</v>
      </c>
      <c r="I98" s="2" t="s">
        <v>29</v>
      </c>
      <c r="K98" s="6" t="s">
        <v>436</v>
      </c>
    </row>
    <row r="99" spans="1:11" x14ac:dyDescent="0.25">
      <c r="A99" s="5" t="s">
        <v>42</v>
      </c>
      <c r="B99" s="5" t="s">
        <v>18</v>
      </c>
      <c r="C99" s="2" t="s">
        <v>992</v>
      </c>
      <c r="D99" s="2" t="s">
        <v>993</v>
      </c>
      <c r="E99" s="2" t="s">
        <v>994</v>
      </c>
      <c r="F99" s="2" t="s">
        <v>995</v>
      </c>
      <c r="G99" s="2" t="s">
        <v>996</v>
      </c>
      <c r="H99" s="2" t="s">
        <v>997</v>
      </c>
      <c r="I99" s="2" t="s">
        <v>29</v>
      </c>
      <c r="K99" s="6" t="s">
        <v>1152</v>
      </c>
    </row>
    <row r="100" spans="1:11" x14ac:dyDescent="0.25">
      <c r="A100" s="5" t="s">
        <v>42</v>
      </c>
      <c r="B100" s="5" t="s">
        <v>20</v>
      </c>
      <c r="C100" s="2" t="s">
        <v>998</v>
      </c>
      <c r="D100" s="2" t="s">
        <v>999</v>
      </c>
      <c r="E100" s="2" t="s">
        <v>1000</v>
      </c>
      <c r="F100" s="2" t="s">
        <v>1001</v>
      </c>
      <c r="G100" s="2" t="s">
        <v>1002</v>
      </c>
      <c r="H100" s="2" t="s">
        <v>29</v>
      </c>
      <c r="K100" s="6" t="s">
        <v>12</v>
      </c>
    </row>
    <row r="101" spans="1:11" x14ac:dyDescent="0.25">
      <c r="A101" s="5" t="s">
        <v>42</v>
      </c>
      <c r="B101" s="5" t="s">
        <v>22</v>
      </c>
      <c r="C101" s="2" t="s">
        <v>1003</v>
      </c>
      <c r="D101" s="2" t="s">
        <v>1004</v>
      </c>
      <c r="E101" s="2" t="s">
        <v>1005</v>
      </c>
      <c r="F101" s="2" t="s">
        <v>1006</v>
      </c>
      <c r="G101" s="2" t="s">
        <v>1007</v>
      </c>
      <c r="H101" s="2" t="s">
        <v>1008</v>
      </c>
      <c r="I101" s="2" t="s">
        <v>29</v>
      </c>
      <c r="K101" s="6" t="s">
        <v>16</v>
      </c>
    </row>
    <row r="102" spans="1:11" x14ac:dyDescent="0.25">
      <c r="A102" s="5" t="s">
        <v>42</v>
      </c>
      <c r="B102" s="5" t="s">
        <v>23</v>
      </c>
      <c r="C102" s="2" t="s">
        <v>1009</v>
      </c>
      <c r="D102" s="2" t="s">
        <v>999</v>
      </c>
      <c r="E102" s="2" t="s">
        <v>1000</v>
      </c>
      <c r="F102" s="2" t="s">
        <v>1010</v>
      </c>
      <c r="G102" s="2" t="s">
        <v>29</v>
      </c>
      <c r="K102" s="6" t="s">
        <v>16</v>
      </c>
    </row>
    <row r="103" spans="1:11" x14ac:dyDescent="0.25">
      <c r="A103" s="5" t="s">
        <v>42</v>
      </c>
      <c r="B103" s="5" t="s">
        <v>24</v>
      </c>
      <c r="C103" s="2" t="s">
        <v>1011</v>
      </c>
      <c r="D103" s="2" t="s">
        <v>1012</v>
      </c>
      <c r="E103" s="2" t="s">
        <v>1013</v>
      </c>
      <c r="F103" s="2" t="s">
        <v>1014</v>
      </c>
      <c r="G103" s="2" t="s">
        <v>1015</v>
      </c>
      <c r="H103" s="2" t="s">
        <v>29</v>
      </c>
      <c r="K103" s="6" t="s">
        <v>16</v>
      </c>
    </row>
    <row r="104" spans="1:11" x14ac:dyDescent="0.25">
      <c r="A104" s="5" t="s">
        <v>42</v>
      </c>
      <c r="B104" s="5" t="s">
        <v>25</v>
      </c>
      <c r="C104" s="2" t="s">
        <v>1016</v>
      </c>
      <c r="D104" s="2" t="s">
        <v>1017</v>
      </c>
      <c r="E104" s="2" t="s">
        <v>1018</v>
      </c>
      <c r="F104" s="2" t="s">
        <v>1019</v>
      </c>
      <c r="G104" s="2" t="s">
        <v>963</v>
      </c>
      <c r="H104" s="2" t="s">
        <v>1020</v>
      </c>
      <c r="I104" s="2" t="s">
        <v>1021</v>
      </c>
      <c r="J104" s="2" t="s">
        <v>29</v>
      </c>
      <c r="K104" s="6" t="s">
        <v>1153</v>
      </c>
    </row>
    <row r="105" spans="1:11" x14ac:dyDescent="0.25">
      <c r="A105" s="5" t="s">
        <v>42</v>
      </c>
      <c r="B105" s="5" t="s">
        <v>26</v>
      </c>
      <c r="C105" s="2" t="s">
        <v>1022</v>
      </c>
      <c r="D105" s="2" t="s">
        <v>1023</v>
      </c>
      <c r="E105" s="2" t="s">
        <v>1024</v>
      </c>
      <c r="F105" s="2" t="s">
        <v>1025</v>
      </c>
      <c r="G105" s="2" t="s">
        <v>1026</v>
      </c>
      <c r="H105" s="2" t="s">
        <v>29</v>
      </c>
      <c r="K105" s="6" t="s">
        <v>19</v>
      </c>
    </row>
    <row r="106" spans="1:11" x14ac:dyDescent="0.25">
      <c r="A106" s="5" t="s">
        <v>42</v>
      </c>
      <c r="B106" s="5" t="s">
        <v>27</v>
      </c>
      <c r="C106" s="2" t="s">
        <v>1027</v>
      </c>
      <c r="D106" s="2" t="s">
        <v>1028</v>
      </c>
      <c r="E106" s="2" t="s">
        <v>1029</v>
      </c>
      <c r="F106" s="2" t="s">
        <v>1030</v>
      </c>
      <c r="G106" s="2" t="s">
        <v>1031</v>
      </c>
      <c r="H106" s="2" t="s">
        <v>1032</v>
      </c>
      <c r="I106" s="2" t="s">
        <v>29</v>
      </c>
      <c r="K106" s="6" t="s">
        <v>442</v>
      </c>
    </row>
    <row r="107" spans="1:11" x14ac:dyDescent="0.25">
      <c r="A107" s="5" t="s">
        <v>42</v>
      </c>
      <c r="B107" s="5" t="s">
        <v>954</v>
      </c>
      <c r="C107" s="2" t="s">
        <v>1033</v>
      </c>
      <c r="D107" s="2" t="s">
        <v>1034</v>
      </c>
      <c r="E107" s="2" t="s">
        <v>1035</v>
      </c>
      <c r="F107" s="2" t="s">
        <v>1036</v>
      </c>
      <c r="G107" s="2" t="s">
        <v>1037</v>
      </c>
      <c r="H107" s="2" t="s">
        <v>29</v>
      </c>
      <c r="K107" s="6" t="s">
        <v>16</v>
      </c>
    </row>
    <row r="108" spans="1:11" x14ac:dyDescent="0.25">
      <c r="A108" s="5" t="s">
        <v>42</v>
      </c>
      <c r="B108" s="5" t="s">
        <v>955</v>
      </c>
      <c r="C108" s="2" t="s">
        <v>1038</v>
      </c>
      <c r="D108" s="2" t="s">
        <v>1039</v>
      </c>
      <c r="E108" s="2" t="s">
        <v>1040</v>
      </c>
      <c r="F108" s="2" t="s">
        <v>1041</v>
      </c>
      <c r="G108" s="2" t="s">
        <v>1042</v>
      </c>
      <c r="H108" s="2" t="s">
        <v>29</v>
      </c>
      <c r="K108" s="6" t="s">
        <v>437</v>
      </c>
    </row>
    <row r="109" spans="1:11" x14ac:dyDescent="0.25">
      <c r="A109" s="5" t="s">
        <v>40</v>
      </c>
      <c r="B109" s="5" t="s">
        <v>9</v>
      </c>
      <c r="C109" s="2" t="s">
        <v>1043</v>
      </c>
      <c r="D109" s="2" t="s">
        <v>1044</v>
      </c>
      <c r="E109" s="2" t="s">
        <v>1045</v>
      </c>
      <c r="F109" s="2" t="s">
        <v>1046</v>
      </c>
      <c r="G109" s="2" t="s">
        <v>1047</v>
      </c>
      <c r="H109" s="2" t="s">
        <v>1048</v>
      </c>
      <c r="I109" s="2" t="s">
        <v>29</v>
      </c>
      <c r="K109" s="6" t="s">
        <v>12</v>
      </c>
    </row>
    <row r="110" spans="1:11" x14ac:dyDescent="0.25">
      <c r="A110" s="5" t="s">
        <v>40</v>
      </c>
      <c r="B110" s="5" t="s">
        <v>11</v>
      </c>
      <c r="C110" s="2" t="s">
        <v>1049</v>
      </c>
      <c r="D110" s="2" t="s">
        <v>1050</v>
      </c>
      <c r="E110" s="2" t="s">
        <v>1051</v>
      </c>
      <c r="F110" s="2" t="s">
        <v>1052</v>
      </c>
      <c r="G110" s="2" t="s">
        <v>789</v>
      </c>
      <c r="H110" s="2" t="s">
        <v>29</v>
      </c>
      <c r="K110" s="6" t="s">
        <v>19</v>
      </c>
    </row>
    <row r="111" spans="1:11" x14ac:dyDescent="0.25">
      <c r="A111" s="5" t="s">
        <v>40</v>
      </c>
      <c r="B111" s="5" t="s">
        <v>13</v>
      </c>
      <c r="C111" s="2" t="s">
        <v>1053</v>
      </c>
      <c r="D111" s="2" t="s">
        <v>1054</v>
      </c>
      <c r="E111" s="2" t="s">
        <v>1055</v>
      </c>
      <c r="F111" s="2" t="s">
        <v>1056</v>
      </c>
      <c r="G111" s="2" t="s">
        <v>1057</v>
      </c>
      <c r="H111" s="2" t="s">
        <v>1058</v>
      </c>
      <c r="I111" s="2" t="s">
        <v>29</v>
      </c>
      <c r="K111" s="6" t="s">
        <v>453</v>
      </c>
    </row>
    <row r="112" spans="1:11" x14ac:dyDescent="0.25">
      <c r="A112" s="5" t="s">
        <v>40</v>
      </c>
      <c r="B112" s="5" t="s">
        <v>14</v>
      </c>
      <c r="C112" s="2" t="s">
        <v>1059</v>
      </c>
      <c r="D112" s="2" t="s">
        <v>1060</v>
      </c>
      <c r="E112" s="2" t="s">
        <v>1061</v>
      </c>
      <c r="F112" s="2" t="s">
        <v>1062</v>
      </c>
      <c r="G112" s="2" t="s">
        <v>1063</v>
      </c>
      <c r="H112" s="2" t="s">
        <v>29</v>
      </c>
      <c r="K112" s="6" t="s">
        <v>16</v>
      </c>
    </row>
    <row r="113" spans="1:11" x14ac:dyDescent="0.25">
      <c r="A113" s="5" t="s">
        <v>40</v>
      </c>
      <c r="B113" s="5" t="s">
        <v>15</v>
      </c>
      <c r="C113" s="2" t="s">
        <v>1064</v>
      </c>
      <c r="D113" s="2" t="s">
        <v>1065</v>
      </c>
      <c r="E113" s="2" t="s">
        <v>1066</v>
      </c>
      <c r="F113" s="2" t="s">
        <v>1067</v>
      </c>
      <c r="G113" s="2" t="s">
        <v>1068</v>
      </c>
      <c r="H113" s="2" t="s">
        <v>1069</v>
      </c>
      <c r="I113" s="2" t="s">
        <v>29</v>
      </c>
      <c r="K113" s="6" t="s">
        <v>1154</v>
      </c>
    </row>
    <row r="114" spans="1:11" x14ac:dyDescent="0.25">
      <c r="A114" s="5" t="s">
        <v>40</v>
      </c>
      <c r="B114" s="5" t="s">
        <v>17</v>
      </c>
      <c r="C114" s="2" t="s">
        <v>1070</v>
      </c>
      <c r="D114" s="2" t="s">
        <v>1071</v>
      </c>
      <c r="E114" s="2" t="s">
        <v>1072</v>
      </c>
      <c r="F114" s="2" t="s">
        <v>1073</v>
      </c>
      <c r="G114" s="2" t="s">
        <v>1074</v>
      </c>
      <c r="H114" s="2" t="s">
        <v>1075</v>
      </c>
      <c r="I114" s="2" t="s">
        <v>1076</v>
      </c>
      <c r="J114" s="2" t="s">
        <v>29</v>
      </c>
      <c r="K114" s="6" t="s">
        <v>1155</v>
      </c>
    </row>
    <row r="115" spans="1:11" x14ac:dyDescent="0.25">
      <c r="A115" s="5" t="s">
        <v>40</v>
      </c>
      <c r="B115" s="5" t="s">
        <v>18</v>
      </c>
      <c r="C115" s="2" t="s">
        <v>1077</v>
      </c>
      <c r="D115" s="2" t="s">
        <v>1078</v>
      </c>
      <c r="E115" s="2" t="s">
        <v>1079</v>
      </c>
      <c r="F115" s="2" t="s">
        <v>1080</v>
      </c>
      <c r="G115" s="2" t="s">
        <v>1081</v>
      </c>
      <c r="H115" s="2" t="s">
        <v>1082</v>
      </c>
      <c r="K115" s="6" t="s">
        <v>10</v>
      </c>
    </row>
    <row r="116" spans="1:11" x14ac:dyDescent="0.25">
      <c r="A116" s="5" t="s">
        <v>40</v>
      </c>
      <c r="B116" s="5" t="s">
        <v>20</v>
      </c>
      <c r="C116" s="2" t="s">
        <v>1083</v>
      </c>
      <c r="D116" s="2" t="s">
        <v>1084</v>
      </c>
      <c r="E116" s="2" t="s">
        <v>1085</v>
      </c>
      <c r="F116" s="2" t="s">
        <v>1086</v>
      </c>
      <c r="G116" s="2" t="s">
        <v>1087</v>
      </c>
      <c r="H116" s="2" t="s">
        <v>29</v>
      </c>
      <c r="K116" s="6" t="s">
        <v>12</v>
      </c>
    </row>
    <row r="117" spans="1:11" x14ac:dyDescent="0.25">
      <c r="A117" s="5" t="s">
        <v>40</v>
      </c>
      <c r="B117" s="5" t="s">
        <v>22</v>
      </c>
      <c r="C117" s="2" t="s">
        <v>1088</v>
      </c>
      <c r="D117" s="2" t="s">
        <v>1089</v>
      </c>
      <c r="E117" s="2" t="s">
        <v>1090</v>
      </c>
      <c r="F117" s="2" t="s">
        <v>1091</v>
      </c>
      <c r="G117" s="2" t="s">
        <v>1092</v>
      </c>
      <c r="H117" s="2" t="s">
        <v>29</v>
      </c>
      <c r="K117" s="6" t="s">
        <v>454</v>
      </c>
    </row>
    <row r="118" spans="1:11" x14ac:dyDescent="0.25">
      <c r="A118" s="5" t="s">
        <v>40</v>
      </c>
      <c r="B118" s="5" t="s">
        <v>23</v>
      </c>
      <c r="C118" s="2" t="s">
        <v>1093</v>
      </c>
      <c r="D118" s="2" t="s">
        <v>1094</v>
      </c>
      <c r="E118" s="2" t="s">
        <v>1095</v>
      </c>
      <c r="F118" s="2" t="s">
        <v>1096</v>
      </c>
      <c r="G118" s="2" t="s">
        <v>29</v>
      </c>
      <c r="K118" s="6" t="s">
        <v>16</v>
      </c>
    </row>
    <row r="119" spans="1:11" x14ac:dyDescent="0.25">
      <c r="A119" s="5" t="s">
        <v>40</v>
      </c>
      <c r="B119" s="5" t="s">
        <v>24</v>
      </c>
      <c r="C119" s="2" t="s">
        <v>1097</v>
      </c>
      <c r="D119" s="2" t="s">
        <v>1098</v>
      </c>
      <c r="E119" s="2" t="s">
        <v>1099</v>
      </c>
      <c r="F119" s="2" t="s">
        <v>1100</v>
      </c>
      <c r="G119" s="2" t="s">
        <v>1101</v>
      </c>
      <c r="H119" s="2" t="s">
        <v>1102</v>
      </c>
      <c r="I119" s="2" t="s">
        <v>29</v>
      </c>
      <c r="K119" s="6" t="s">
        <v>436</v>
      </c>
    </row>
    <row r="120" spans="1:11" x14ac:dyDescent="0.25">
      <c r="A120" s="5" t="s">
        <v>40</v>
      </c>
      <c r="B120" s="5" t="s">
        <v>25</v>
      </c>
      <c r="C120" s="2" t="s">
        <v>1103</v>
      </c>
      <c r="D120" s="2" t="s">
        <v>1098</v>
      </c>
      <c r="E120" s="2" t="s">
        <v>1101</v>
      </c>
      <c r="F120" s="2" t="s">
        <v>1104</v>
      </c>
      <c r="G120" s="2" t="s">
        <v>1105</v>
      </c>
      <c r="H120" s="2" t="s">
        <v>1106</v>
      </c>
      <c r="K120" s="6" t="s">
        <v>434</v>
      </c>
    </row>
    <row r="121" spans="1:11" x14ac:dyDescent="0.25">
      <c r="A121" s="5" t="s">
        <v>40</v>
      </c>
      <c r="B121" s="5" t="s">
        <v>26</v>
      </c>
      <c r="C121" s="2" t="s">
        <v>1107</v>
      </c>
      <c r="D121" s="2" t="s">
        <v>1108</v>
      </c>
      <c r="E121" s="2" t="s">
        <v>1109</v>
      </c>
      <c r="F121" s="2" t="s">
        <v>1110</v>
      </c>
      <c r="G121" s="2" t="s">
        <v>1111</v>
      </c>
      <c r="H121" s="2" t="s">
        <v>29</v>
      </c>
      <c r="K121" s="6" t="s">
        <v>10</v>
      </c>
    </row>
    <row r="122" spans="1:11" x14ac:dyDescent="0.25">
      <c r="A122" s="5" t="s">
        <v>40</v>
      </c>
      <c r="B122" s="5" t="s">
        <v>27</v>
      </c>
      <c r="C122" s="2" t="s">
        <v>1112</v>
      </c>
      <c r="D122" s="2" t="s">
        <v>1113</v>
      </c>
      <c r="E122" s="2" t="s">
        <v>1114</v>
      </c>
      <c r="F122" s="2" t="s">
        <v>1115</v>
      </c>
      <c r="G122" s="2" t="s">
        <v>1116</v>
      </c>
      <c r="H122" s="2" t="s">
        <v>1117</v>
      </c>
      <c r="I122" s="2" t="s">
        <v>1118</v>
      </c>
      <c r="J122" s="2" t="s">
        <v>29</v>
      </c>
      <c r="K122" s="6" t="s">
        <v>959</v>
      </c>
    </row>
    <row r="123" spans="1:11" x14ac:dyDescent="0.25">
      <c r="A123" s="5" t="s">
        <v>40</v>
      </c>
      <c r="B123" s="5" t="s">
        <v>954</v>
      </c>
      <c r="C123" s="2" t="s">
        <v>1119</v>
      </c>
      <c r="D123" s="2" t="s">
        <v>1120</v>
      </c>
      <c r="E123" s="2" t="s">
        <v>1121</v>
      </c>
      <c r="F123" s="2" t="s">
        <v>1122</v>
      </c>
      <c r="G123" s="2" t="s">
        <v>1123</v>
      </c>
      <c r="H123" s="2" t="s">
        <v>29</v>
      </c>
      <c r="K123" s="6" t="s">
        <v>21</v>
      </c>
    </row>
    <row r="124" spans="1:11" x14ac:dyDescent="0.25">
      <c r="A124" s="5" t="s">
        <v>40</v>
      </c>
      <c r="B124" s="5" t="s">
        <v>955</v>
      </c>
      <c r="C124" s="2" t="s">
        <v>1124</v>
      </c>
      <c r="D124" s="2" t="s">
        <v>12</v>
      </c>
      <c r="E124" s="2" t="s">
        <v>19</v>
      </c>
      <c r="F124" s="2" t="s">
        <v>16</v>
      </c>
      <c r="G124" s="2" t="s">
        <v>10</v>
      </c>
      <c r="H124" s="2" t="s">
        <v>29</v>
      </c>
      <c r="K124" s="6" t="s">
        <v>957</v>
      </c>
    </row>
    <row r="125" spans="1:11" x14ac:dyDescent="0.25">
      <c r="A125" s="5" t="s">
        <v>40</v>
      </c>
      <c r="B125" s="5" t="s">
        <v>1145</v>
      </c>
      <c r="C125" s="2" t="s">
        <v>1125</v>
      </c>
      <c r="D125" s="2" t="s">
        <v>1126</v>
      </c>
      <c r="E125" s="2" t="s">
        <v>1127</v>
      </c>
      <c r="F125" s="2" t="s">
        <v>1128</v>
      </c>
      <c r="G125" s="2" t="s">
        <v>1129</v>
      </c>
      <c r="H125" s="2" t="s">
        <v>1130</v>
      </c>
      <c r="I125" s="2" t="s">
        <v>1131</v>
      </c>
      <c r="J125" s="2" t="s">
        <v>29</v>
      </c>
      <c r="K125" s="6" t="s">
        <v>16</v>
      </c>
    </row>
    <row r="126" spans="1:11" x14ac:dyDescent="0.25">
      <c r="A126" s="5" t="s">
        <v>40</v>
      </c>
      <c r="B126" s="5" t="s">
        <v>1146</v>
      </c>
      <c r="C126" s="2" t="s">
        <v>1132</v>
      </c>
      <c r="D126" s="2" t="s">
        <v>1133</v>
      </c>
      <c r="E126" s="2" t="s">
        <v>1134</v>
      </c>
      <c r="F126" s="2" t="s">
        <v>1135</v>
      </c>
      <c r="G126" s="2" t="s">
        <v>1136</v>
      </c>
      <c r="H126" s="2" t="s">
        <v>1058</v>
      </c>
      <c r="I126" s="2" t="s">
        <v>29</v>
      </c>
      <c r="K126" s="6" t="s">
        <v>12</v>
      </c>
    </row>
    <row r="127" spans="1:11" x14ac:dyDescent="0.25">
      <c r="A127" s="5" t="s">
        <v>40</v>
      </c>
      <c r="B127" s="5" t="s">
        <v>1147</v>
      </c>
      <c r="C127" s="2" t="s">
        <v>1137</v>
      </c>
      <c r="D127" s="2" t="s">
        <v>1060</v>
      </c>
      <c r="E127" s="2" t="s">
        <v>1138</v>
      </c>
      <c r="F127" s="2" t="s">
        <v>1062</v>
      </c>
      <c r="G127" s="2" t="s">
        <v>1063</v>
      </c>
      <c r="H127" s="2" t="s">
        <v>29</v>
      </c>
      <c r="K127" s="6" t="s">
        <v>19</v>
      </c>
    </row>
    <row r="128" spans="1:11" x14ac:dyDescent="0.25">
      <c r="A128" s="5" t="s">
        <v>40</v>
      </c>
      <c r="B128" s="5" t="s">
        <v>1148</v>
      </c>
      <c r="C128" s="2" t="s">
        <v>1139</v>
      </c>
      <c r="D128" s="2" t="s">
        <v>1140</v>
      </c>
      <c r="E128" s="2" t="s">
        <v>1141</v>
      </c>
      <c r="F128" s="2" t="s">
        <v>1142</v>
      </c>
      <c r="G128" s="2" t="s">
        <v>1143</v>
      </c>
      <c r="H128" s="2" t="s">
        <v>1144</v>
      </c>
      <c r="I128" s="2" t="s">
        <v>29</v>
      </c>
      <c r="K128" s="6" t="s">
        <v>455</v>
      </c>
    </row>
  </sheetData>
  <autoFilter ref="A1:K312" xr:uid="{00000000-0001-0000-0000-000000000000}"/>
  <phoneticPr fontId="3" type="noConversion"/>
  <conditionalFormatting sqref="D1:D1048576">
    <cfRule type="expression" dxfId="6" priority="7">
      <formula>ISERROR(FIND("A",$K1))=FALSE</formula>
    </cfRule>
  </conditionalFormatting>
  <conditionalFormatting sqref="E1:E1048576">
    <cfRule type="expression" dxfId="5" priority="6">
      <formula>ISERROR(FIND("B",$K1))=FALSE</formula>
    </cfRule>
  </conditionalFormatting>
  <conditionalFormatting sqref="F1:F1048576">
    <cfRule type="expression" dxfId="4" priority="5">
      <formula>ISERROR(FIND("C",$K1))=FALSE</formula>
    </cfRule>
  </conditionalFormatting>
  <conditionalFormatting sqref="G1:G1048576">
    <cfRule type="expression" dxfId="3" priority="4">
      <formula>ISERROR(FIND("D",$K1))=FALSE</formula>
    </cfRule>
  </conditionalFormatting>
  <conditionalFormatting sqref="H1:H1048576">
    <cfRule type="expression" dxfId="2" priority="3">
      <formula>ISERROR(FIND("E",$K1))=FALSE</formula>
    </cfRule>
  </conditionalFormatting>
  <conditionalFormatting sqref="I1:I1048576">
    <cfRule type="expression" dxfId="1" priority="2">
      <formula>ISERROR(FIND("F",$K1))=FALSE</formula>
    </cfRule>
  </conditionalFormatting>
  <conditionalFormatting sqref="J1:J1048576">
    <cfRule type="expression" dxfId="0" priority="1">
      <formula>ISERROR(FIND("G",$K1))=FALSE</formula>
    </cfRule>
  </conditionalFormatting>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4EFAA-EF75-46AB-9449-DE504B7E1DE0}">
  <sheetPr>
    <tabColor rgb="FF00B0F0"/>
    <outlinePr summaryBelow="0" summaryRight="0"/>
  </sheetPr>
  <dimension ref="A1:E993"/>
  <sheetViews>
    <sheetView workbookViewId="0">
      <selection activeCell="A10" sqref="A10:A11"/>
    </sheetView>
  </sheetViews>
  <sheetFormatPr baseColWidth="10" defaultColWidth="14.42578125" defaultRowHeight="15" customHeight="1" x14ac:dyDescent="0.25"/>
  <cols>
    <col min="1" max="1" width="13.140625" style="8" customWidth="1"/>
    <col min="2" max="2" width="43.28515625" style="8" customWidth="1"/>
    <col min="3" max="3" width="68.42578125" style="8" customWidth="1"/>
    <col min="4" max="6" width="14.42578125" style="8" customWidth="1"/>
    <col min="7" max="16384" width="14.42578125" style="8"/>
  </cols>
  <sheetData>
    <row r="1" spans="1:5" x14ac:dyDescent="0.25">
      <c r="A1" s="9" t="s">
        <v>0</v>
      </c>
      <c r="B1" s="9" t="s">
        <v>43</v>
      </c>
      <c r="C1" s="9" t="s">
        <v>28</v>
      </c>
      <c r="D1" s="10" t="s">
        <v>38</v>
      </c>
    </row>
    <row r="2" spans="1:5" ht="14.25" x14ac:dyDescent="0.25">
      <c r="A2" s="8" t="s">
        <v>228</v>
      </c>
      <c r="B2" s="8" t="s">
        <v>227</v>
      </c>
      <c r="C2" s="8" t="str">
        <f t="shared" ref="C2:C13" si="0">B2 &amp; " (" &amp; D2 &amp; " questions)"</f>
        <v>Le Feu (14 questions)</v>
      </c>
      <c r="D2" s="8">
        <f>COUNTIF(Liste_Questions!$A:$A,$A2)</f>
        <v>14</v>
      </c>
      <c r="E2" s="8">
        <f>COUNTIF(Liste_Questions!$C:$C,"["&amp;LEFT($A2,4)&amp;"]*")</f>
        <v>0</v>
      </c>
    </row>
    <row r="3" spans="1:5" ht="14.25" x14ac:dyDescent="0.25">
      <c r="A3" s="8" t="s">
        <v>229</v>
      </c>
      <c r="B3" s="8" t="s">
        <v>227</v>
      </c>
      <c r="C3" s="8" t="str">
        <f t="shared" si="0"/>
        <v>Le Feu (9 questions)</v>
      </c>
      <c r="D3" s="8">
        <f>COUNTIF(Liste_Questions!$A:$A,$A3)</f>
        <v>9</v>
      </c>
      <c r="E3" s="8">
        <f>COUNTIF(Liste_Questions!$C:$C,"["&amp;LEFT($A3,4)&amp;"]*")</f>
        <v>0</v>
      </c>
    </row>
    <row r="4" spans="1:5" ht="14.25" x14ac:dyDescent="0.25">
      <c r="A4" s="8" t="s">
        <v>230</v>
      </c>
      <c r="B4" s="8" t="s">
        <v>231</v>
      </c>
      <c r="C4" s="8" t="str">
        <f t="shared" si="0"/>
        <v>Classement des ERP (6 questions)</v>
      </c>
      <c r="D4" s="8">
        <f>COUNTIF(Liste_Questions!$A:$A,$A4)</f>
        <v>6</v>
      </c>
      <c r="E4" s="8">
        <f>COUNTIF(Liste_Questions!$C:$C,"["&amp;LEFT($A4,4)&amp;"]*")</f>
        <v>0</v>
      </c>
    </row>
    <row r="5" spans="1:5" ht="14.25" x14ac:dyDescent="0.25">
      <c r="A5" s="8" t="s">
        <v>39</v>
      </c>
      <c r="B5" s="8" t="s">
        <v>232</v>
      </c>
      <c r="C5" s="8" t="str">
        <f t="shared" si="0"/>
        <v>Classement des IGH (7 questions)</v>
      </c>
      <c r="D5" s="8">
        <f>COUNTIF(Liste_Questions!$A:$A,$A5)</f>
        <v>7</v>
      </c>
      <c r="E5" s="8">
        <f>COUNTIF(Liste_Questions!$C:$C,"["&amp;LEFT($A5,4)&amp;"]*")</f>
        <v>0</v>
      </c>
    </row>
    <row r="6" spans="1:5" ht="14.25" x14ac:dyDescent="0.25">
      <c r="A6" s="8" t="s">
        <v>234</v>
      </c>
      <c r="B6" s="8" t="s">
        <v>233</v>
      </c>
      <c r="C6" s="8" t="str">
        <f t="shared" si="0"/>
        <v>Sécurité incendie en ERP (14 questions)</v>
      </c>
      <c r="D6" s="8">
        <f>COUNTIF(Liste_Questions!$A:$A,$A6)</f>
        <v>14</v>
      </c>
      <c r="E6" s="8">
        <f>COUNTIF(Liste_Questions!$C:$C,"["&amp;LEFT($A6,4)&amp;"]*")</f>
        <v>0</v>
      </c>
    </row>
    <row r="7" spans="1:5" ht="14.25" x14ac:dyDescent="0.25">
      <c r="A7" s="8" t="s">
        <v>235</v>
      </c>
      <c r="B7" s="8" t="s">
        <v>233</v>
      </c>
      <c r="C7" s="8" t="str">
        <f t="shared" si="0"/>
        <v>Sécurité incendie en ERP (12 questions)</v>
      </c>
      <c r="D7" s="8">
        <f>COUNTIF(Liste_Questions!$A:$A,$A7)</f>
        <v>12</v>
      </c>
      <c r="E7" s="8">
        <f>COUNTIF(Liste_Questions!$C:$C,"["&amp;LEFT($A7,4)&amp;"]*")</f>
        <v>0</v>
      </c>
    </row>
    <row r="8" spans="1:5" ht="14.25" x14ac:dyDescent="0.25">
      <c r="A8" s="8" t="s">
        <v>236</v>
      </c>
      <c r="B8" s="8" t="s">
        <v>237</v>
      </c>
      <c r="C8" s="8" t="str">
        <f t="shared" si="0"/>
        <v>Sécurité incendie en IGH (16 questions)</v>
      </c>
      <c r="D8" s="8">
        <f>COUNTIF(Liste_Questions!$A:$A,$A8)</f>
        <v>16</v>
      </c>
      <c r="E8" s="8">
        <f>COUNTIF(Liste_Questions!$C:$C,"["&amp;LEFT($A8,4)&amp;"]*")</f>
        <v>0</v>
      </c>
    </row>
    <row r="9" spans="1:5" ht="14.25" x14ac:dyDescent="0.25">
      <c r="A9" s="8" t="s">
        <v>41</v>
      </c>
      <c r="B9" s="8" t="s">
        <v>238</v>
      </c>
      <c r="C9" s="8" t="str">
        <f t="shared" si="0"/>
        <v>Les moyens de secours (13 questions)</v>
      </c>
      <c r="D9" s="8">
        <f>COUNTIF(Liste_Questions!$A:$A,$A9)</f>
        <v>13</v>
      </c>
      <c r="E9" s="8">
        <f>COUNTIF(Liste_Questions!$C:$C,"["&amp;LEFT($A9,4)&amp;"]*")</f>
        <v>0</v>
      </c>
    </row>
    <row r="10" spans="1:5" ht="14.25" x14ac:dyDescent="0.25">
      <c r="A10" s="8" t="s">
        <v>42</v>
      </c>
      <c r="B10" s="8" t="s">
        <v>239</v>
      </c>
      <c r="C10" s="8" t="str">
        <f t="shared" si="0"/>
        <v>Les installations électriques (16 questions)</v>
      </c>
      <c r="D10" s="8">
        <f>COUNTIF(Liste_Questions!$A:$A,$A10)</f>
        <v>16</v>
      </c>
      <c r="E10" s="8">
        <f>COUNTIF(Liste_Questions!$C:$C,"["&amp;LEFT($A10,4)&amp;"]*")</f>
        <v>0</v>
      </c>
    </row>
    <row r="11" spans="1:5" ht="14.25" x14ac:dyDescent="0.25">
      <c r="A11" s="8" t="s">
        <v>40</v>
      </c>
      <c r="B11" s="8" t="s">
        <v>240</v>
      </c>
      <c r="C11" s="8" t="str">
        <f t="shared" si="0"/>
        <v>Le S.S.I. (20 questions)</v>
      </c>
      <c r="D11" s="8">
        <f>COUNTIF(Liste_Questions!$A:$A,$A11)</f>
        <v>20</v>
      </c>
      <c r="E11" s="8">
        <f>COUNTIF(Liste_Questions!$C:$C,"["&amp;LEFT($A11,4)&amp;"]*")</f>
        <v>0</v>
      </c>
    </row>
    <row r="12" spans="1:5" ht="14.25" x14ac:dyDescent="0.25">
      <c r="A12" s="8" t="s">
        <v>241</v>
      </c>
      <c r="B12" s="8" t="s">
        <v>242</v>
      </c>
      <c r="C12" s="8" t="str">
        <f t="shared" si="0"/>
        <v>Rôles et missions des agents (0 questions)</v>
      </c>
      <c r="D12" s="8">
        <f>COUNTIF(Liste_Questions!$A:$A,$A12)</f>
        <v>0</v>
      </c>
      <c r="E12" s="8">
        <f>COUNTIF(Liste_Questions!$C:$C,"["&amp;LEFT($A12,4)&amp;"]*")</f>
        <v>0</v>
      </c>
    </row>
    <row r="13" spans="1:5" ht="14.25" x14ac:dyDescent="0.25">
      <c r="A13" s="8" t="s">
        <v>243</v>
      </c>
      <c r="C13" s="8" t="str">
        <f t="shared" si="0"/>
        <v xml:space="preserve"> (0 questions)</v>
      </c>
      <c r="D13" s="8">
        <f>COUNTIF(Liste_Questions!$A:$A,$A13)</f>
        <v>0</v>
      </c>
      <c r="E13" s="8">
        <f>COUNTIF(Liste_Questions!$C:$C,"["&amp;LEFT($A13,4)&amp;"]*")</f>
        <v>0</v>
      </c>
    </row>
    <row r="14" spans="1:5" ht="15" customHeight="1" x14ac:dyDescent="0.25">
      <c r="A14" s="8" t="s">
        <v>36</v>
      </c>
      <c r="C14" s="8" t="s">
        <v>44</v>
      </c>
      <c r="D14" s="8">
        <f>COUNTIF(Liste_Questions!$A:$A,$A14)</f>
        <v>0</v>
      </c>
    </row>
    <row r="15" spans="1:5" ht="15" customHeight="1" x14ac:dyDescent="0.25">
      <c r="A15" s="8" t="s">
        <v>37</v>
      </c>
      <c r="C15" s="8" t="s">
        <v>44</v>
      </c>
      <c r="D15" s="8">
        <f>COUNTIF(Liste_Questions!$A:$A,$A15)</f>
        <v>0</v>
      </c>
    </row>
    <row r="16" spans="1:5"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sheetData>
  <phoneticPr fontId="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82157-25E0-434E-AB6B-01FE38A60B37}">
  <dimension ref="A1:K225"/>
  <sheetViews>
    <sheetView topLeftCell="A104" workbookViewId="0">
      <selection activeCell="E153" sqref="E153:E194"/>
    </sheetView>
  </sheetViews>
  <sheetFormatPr baseColWidth="10" defaultRowHeight="15" x14ac:dyDescent="0.25"/>
  <cols>
    <col min="1" max="1" width="34.140625" customWidth="1"/>
    <col min="2" max="2" width="11.42578125" style="7"/>
    <col min="3" max="3" width="33.140625" style="7" customWidth="1"/>
  </cols>
  <sheetData>
    <row r="1" spans="1:11" ht="25.5" x14ac:dyDescent="0.25">
      <c r="A1" s="12" t="s">
        <v>458</v>
      </c>
      <c r="B1" s="7" t="e">
        <f>FIND(". ",A1)</f>
        <v>#VALUE!</v>
      </c>
      <c r="C1" s="7" t="e">
        <f>RIGHT(A1, LEN(A1)-(B1+1))</f>
        <v>#VALUE!</v>
      </c>
      <c r="D1" t="e" cm="1">
        <f t="array" ref="D1">_xlfn.TEXTSPLIT(C1,"|")</f>
        <v>#VALUE!</v>
      </c>
    </row>
    <row r="2" spans="1:11" ht="20.25" x14ac:dyDescent="0.25">
      <c r="A2" s="13" t="s">
        <v>459</v>
      </c>
      <c r="B2" s="7" t="e">
        <f>FIND(". ",A2)</f>
        <v>#VALUE!</v>
      </c>
      <c r="C2" s="7" t="e">
        <f t="shared" ref="C2:C34" si="0">RIGHT(A2, LEN(A2)-(B2+1))</f>
        <v>#VALUE!</v>
      </c>
      <c r="D2" t="e" cm="1">
        <f t="array" ref="D2">_xlfn.TEXTSPLIT(C2,"|")</f>
        <v>#VALUE!</v>
      </c>
    </row>
    <row r="3" spans="1:11" x14ac:dyDescent="0.25">
      <c r="A3" s="15" t="s">
        <v>460</v>
      </c>
      <c r="B3" s="7">
        <f t="shared" ref="B3:B34" si="1">FIND(". ",A3)</f>
        <v>2</v>
      </c>
      <c r="C3" s="7" t="str">
        <f t="shared" si="0"/>
        <v>Quels combustibles forment des braises au cours de leur combustion ?|Les liquides|Les solides|Les gaz|Les fumées|Aucune des réponses précédentes</v>
      </c>
      <c r="D3" t="str" cm="1">
        <f t="array" ref="D3:I3">_xlfn.TEXTSPLIT(C3,"|")</f>
        <v>Quels combustibles forment des braises au cours de leur combustion ?</v>
      </c>
      <c r="E3" t="str">
        <v>Les liquides</v>
      </c>
      <c r="F3" t="str">
        <v>Les solides</v>
      </c>
      <c r="G3" t="str">
        <v>Les gaz</v>
      </c>
      <c r="H3" t="str">
        <v>Les fumées</v>
      </c>
      <c r="I3" t="str">
        <v>Aucune des réponses précédentes</v>
      </c>
    </row>
    <row r="4" spans="1:11" x14ac:dyDescent="0.25">
      <c r="A4" s="15" t="s">
        <v>461</v>
      </c>
      <c r="B4" s="7">
        <f t="shared" si="1"/>
        <v>2</v>
      </c>
      <c r="C4" s="7" t="str">
        <f t="shared" si="0"/>
        <v>Quels sont les éléments qui constituent le triangle du feu ?|Le gaz carbonique|Le comburant|Le combustible|L’énergie d’activation|La poudre|L’eau avec additif|Aucune des réponses précédentes</v>
      </c>
      <c r="D4" t="str" cm="1">
        <f t="array" ref="D4:K4">_xlfn.TEXTSPLIT(C4,"|")</f>
        <v>Quels sont les éléments qui constituent le triangle du feu ?</v>
      </c>
      <c r="E4" t="str">
        <v>Le gaz carbonique</v>
      </c>
      <c r="F4" t="str">
        <v>Le comburant</v>
      </c>
      <c r="G4" t="str">
        <v>Le combustible</v>
      </c>
      <c r="H4" t="str">
        <v>L’énergie d’activation</v>
      </c>
      <c r="I4" t="str">
        <v>La poudre</v>
      </c>
      <c r="J4" t="str">
        <v>L’eau avec additif</v>
      </c>
      <c r="K4" t="str">
        <v>Aucune des réponses précédentes</v>
      </c>
    </row>
    <row r="5" spans="1:11" x14ac:dyDescent="0.25">
      <c r="A5" s="15" t="s">
        <v>462</v>
      </c>
      <c r="B5" s="7">
        <f t="shared" si="1"/>
        <v>2</v>
      </c>
      <c r="C5" s="7" t="str">
        <f t="shared" si="0"/>
        <v>Parmi ces propositions indiquez le (ou les) comburant(s) ?|Un combustible liquide appelé aussi carburant|Le gaz carbonique|La chaleur|L’oxygène de l’air|La couche d’ozone|Aucune des réponses précédentes</v>
      </c>
      <c r="D5" t="str" cm="1">
        <f t="array" ref="D5:J5">_xlfn.TEXTSPLIT(C5,"|")</f>
        <v>Parmi ces propositions indiquez le (ou les) comburant(s) ?</v>
      </c>
      <c r="E5" t="str">
        <v>Un combustible liquide appelé aussi carburant</v>
      </c>
      <c r="F5" t="str">
        <v>Le gaz carbonique</v>
      </c>
      <c r="G5" t="str">
        <v>La chaleur</v>
      </c>
      <c r="H5" t="str">
        <v>L’oxygène de l’air</v>
      </c>
      <c r="I5" t="str">
        <v>La couche d’ozone</v>
      </c>
      <c r="J5" t="str">
        <v>Aucune des réponses précédentes</v>
      </c>
    </row>
    <row r="6" spans="1:11" x14ac:dyDescent="0.25">
      <c r="A6" s="15" t="s">
        <v>463</v>
      </c>
      <c r="B6" s="7">
        <f t="shared" si="1"/>
        <v>2</v>
      </c>
      <c r="C6" s="7" t="str">
        <f t="shared" si="0"/>
        <v>Parmi ces propositions, indiquez celle(s) considérée(s) comme étant un comburant ?|Le propane|Les flammes|L’huile hydraulique|L’oxygène|L’essence|Aucune des réponses précédentes</v>
      </c>
      <c r="D6" t="str" cm="1">
        <f t="array" ref="D6:J6">_xlfn.TEXTSPLIT(C6,"|")</f>
        <v>Parmi ces propositions, indiquez celle(s) considérée(s) comme étant un comburant ?</v>
      </c>
      <c r="E6" t="str">
        <v>Le propane</v>
      </c>
      <c r="F6" t="str">
        <v>Les flammes</v>
      </c>
      <c r="G6" t="str">
        <v>L’huile hydraulique</v>
      </c>
      <c r="H6" t="str">
        <v>L’oxygène</v>
      </c>
      <c r="I6" t="str">
        <v>L’essence</v>
      </c>
      <c r="J6" t="str">
        <v>Aucune des réponses précédentes</v>
      </c>
    </row>
    <row r="7" spans="1:11" x14ac:dyDescent="0.25">
      <c r="A7" s="15" t="s">
        <v>464</v>
      </c>
      <c r="B7" s="7">
        <f t="shared" si="1"/>
        <v>2</v>
      </c>
      <c r="C7" s="7" t="str">
        <f t="shared" si="0"/>
        <v>La combustion est une réaction :|Exothermocimétrique|Exothermique|Oxydable|Exothérique|Extra-thermique|Aucune des réponses précédentes</v>
      </c>
      <c r="D7" t="str" cm="1">
        <f t="array" ref="D7:J7">_xlfn.TEXTSPLIT(C7,"|")</f>
        <v>La combustion est une réaction :</v>
      </c>
      <c r="E7" t="str">
        <v>Exothermocimétrique</v>
      </c>
      <c r="F7" t="str">
        <v>Exothermique</v>
      </c>
      <c r="G7" t="str">
        <v>Oxydable</v>
      </c>
      <c r="H7" t="str">
        <v>Exothérique</v>
      </c>
      <c r="I7" t="str">
        <v>Extra-thermique</v>
      </c>
      <c r="J7" t="str">
        <v>Aucune des réponses précédentes</v>
      </c>
    </row>
    <row r="8" spans="1:11" x14ac:dyDescent="0.25">
      <c r="A8" s="15" t="s">
        <v>465</v>
      </c>
      <c r="B8" s="7">
        <f t="shared" si="1"/>
        <v>2</v>
      </c>
      <c r="C8" s="7" t="str">
        <f t="shared" si="0"/>
        <v>Quelles sont les différentes causes des incendies ?|Naturelles|Catastrophiques|Humaines|Techniques|Réelles|Aucune des réponses précédentes</v>
      </c>
      <c r="D8" t="str" cm="1">
        <f t="array" ref="D8:J8">_xlfn.TEXTSPLIT(C8,"|")</f>
        <v>Quelles sont les différentes causes des incendies ?</v>
      </c>
      <c r="E8" t="str">
        <v>Naturelles</v>
      </c>
      <c r="F8" t="str">
        <v>Catastrophiques</v>
      </c>
      <c r="G8" t="str">
        <v>Humaines</v>
      </c>
      <c r="H8" t="str">
        <v>Techniques</v>
      </c>
      <c r="I8" t="str">
        <v>Réelles</v>
      </c>
      <c r="J8" t="str">
        <v>Aucune des réponses précédentes</v>
      </c>
    </row>
    <row r="9" spans="1:11" x14ac:dyDescent="0.25">
      <c r="A9" s="15" t="s">
        <v>466</v>
      </c>
      <c r="B9" s="7">
        <f t="shared" si="1"/>
        <v>2</v>
      </c>
      <c r="C9" s="7" t="str">
        <f t="shared" si="0"/>
        <v>Un incendie peut être d’origine :|Alimentaire|Humaine|Naturelle|Électrique|Hydraulique|Aucune des réponses précédentes</v>
      </c>
      <c r="D9" t="str" cm="1">
        <f t="array" ref="D9:J9">_xlfn.TEXTSPLIT(C9,"|")</f>
        <v>Un incendie peut être d’origine :</v>
      </c>
      <c r="E9" t="str">
        <v>Alimentaire</v>
      </c>
      <c r="F9" t="str">
        <v>Humaine</v>
      </c>
      <c r="G9" t="str">
        <v>Naturelle</v>
      </c>
      <c r="H9" t="str">
        <v>Électrique</v>
      </c>
      <c r="I9" t="str">
        <v>Hydraulique</v>
      </c>
      <c r="J9" t="str">
        <v>Aucune des réponses précédentes</v>
      </c>
    </row>
    <row r="10" spans="1:11" x14ac:dyDescent="0.25">
      <c r="A10" s="15" t="s">
        <v>467</v>
      </c>
      <c r="B10" s="7">
        <f t="shared" si="1"/>
        <v>2</v>
      </c>
      <c r="C10" s="7" t="str">
        <f t="shared" si="0"/>
        <v>Afin de déterminer les agents extincteurs à utiliser, comment classe-t-on les familles de combustibles ?|En fonction de leur dangerosité|En fonction du type de combustion (lente, vive, spontanée)|En fonction de leurs points éclair|En fonction de leurs états (solide, liquide, gaz)|Aucune des réponses précédentes</v>
      </c>
      <c r="D10" t="str" cm="1">
        <f t="array" ref="D10:I10">_xlfn.TEXTSPLIT(C10,"|")</f>
        <v>Afin de déterminer les agents extincteurs à utiliser, comment classe-t-on les familles de combustibles ?</v>
      </c>
      <c r="E10" t="str">
        <v>En fonction de leur dangerosité</v>
      </c>
      <c r="F10" t="str">
        <v>En fonction du type de combustion (lente, vive, spontanée)</v>
      </c>
      <c r="G10" t="str">
        <v>En fonction de leurs points éclair</v>
      </c>
      <c r="H10" t="str">
        <v>En fonction de leurs états (solide, liquide, gaz)</v>
      </c>
      <c r="I10" t="str">
        <v>Aucune des réponses précédentes</v>
      </c>
    </row>
    <row r="11" spans="1:11" x14ac:dyDescent="0.25">
      <c r="A11" s="15" t="s">
        <v>468</v>
      </c>
      <c r="B11" s="7">
        <f t="shared" si="1"/>
        <v>2</v>
      </c>
      <c r="C11" s="7" t="str">
        <f t="shared" si="0"/>
        <v>Quels sont, parmi les propositions suivantes, les éléments qui appartiennent à la classe de feu D ?|Le bois|L’aluminium|Le butane|Le sodium|Aucune des réponses précédentes</v>
      </c>
      <c r="D11" t="str" cm="1">
        <f t="array" ref="D11:I11">_xlfn.TEXTSPLIT(C11,"|")</f>
        <v>Quels sont, parmi les propositions suivantes, les éléments qui appartiennent à la classe de feu D ?</v>
      </c>
      <c r="E11" t="str">
        <v>Le bois</v>
      </c>
      <c r="F11" t="str">
        <v>L’aluminium</v>
      </c>
      <c r="G11" t="str">
        <v>Le butane</v>
      </c>
      <c r="H11" t="str">
        <v>Le sodium</v>
      </c>
      <c r="I11" t="str">
        <v>Aucune des réponses précédentes</v>
      </c>
    </row>
    <row r="12" spans="1:11" x14ac:dyDescent="0.25">
      <c r="A12" s="15" t="s">
        <v>469</v>
      </c>
      <c r="B12" s="7">
        <f t="shared" si="1"/>
        <v>3</v>
      </c>
      <c r="C12" s="7" t="str">
        <f t="shared" si="0"/>
        <v>Quels sont, parmi les propositions suivantes, les éléments qui appartiennent à la classe de feu B ?|L’huile moteur|L’alcool|La paille|Certains plastiques|L’oxygène|Aucune des réponses précédentes</v>
      </c>
      <c r="D12" t="str" cm="1">
        <f t="array" ref="D12:J12">_xlfn.TEXTSPLIT(C12,"|")</f>
        <v>Quels sont, parmi les propositions suivantes, les éléments qui appartiennent à la classe de feu B ?</v>
      </c>
      <c r="E12" t="str">
        <v>L’huile moteur</v>
      </c>
      <c r="F12" t="str">
        <v>L’alcool</v>
      </c>
      <c r="G12" t="str">
        <v>La paille</v>
      </c>
      <c r="H12" t="str">
        <v>Certains plastiques</v>
      </c>
      <c r="I12" t="str">
        <v>L’oxygène</v>
      </c>
      <c r="J12" t="str">
        <v>Aucune des réponses précédentes</v>
      </c>
    </row>
    <row r="13" spans="1:11" x14ac:dyDescent="0.25">
      <c r="A13" s="15" t="s">
        <v>470</v>
      </c>
      <c r="B13" s="7">
        <f t="shared" si="1"/>
        <v>3</v>
      </c>
      <c r="C13" s="7" t="str">
        <f t="shared" si="0"/>
        <v>Qu’est-ce que la convection dans un feu ?|C’est la transmission de la chaleur par la masse même du matériau|C’est la transmission de la chaleur par l’intermédiaire de l’air|C’est la transmission de la chaleur par l’intermédiaire d’ondes électromagnétiques|C’est la transmission de la chaleur par l’intermédiaire de particules incandescentes|Aucune des réponses précédentes</v>
      </c>
      <c r="D13" t="str" cm="1">
        <f t="array" ref="D13:I13">_xlfn.TEXTSPLIT(C13,"|")</f>
        <v>Qu’est-ce que la convection dans un feu ?</v>
      </c>
      <c r="E13" t="str">
        <v>C’est la transmission de la chaleur par la masse même du matériau</v>
      </c>
      <c r="F13" t="str">
        <v>C’est la transmission de la chaleur par l’intermédiaire de l’air</v>
      </c>
      <c r="G13" t="str">
        <v>C’est la transmission de la chaleur par l’intermédiaire d’ondes électromagnétiques</v>
      </c>
      <c r="H13" t="str">
        <v>C’est la transmission de la chaleur par l’intermédiaire de particules incandescentes</v>
      </c>
      <c r="I13" t="str">
        <v>Aucune des réponses précédentes</v>
      </c>
    </row>
    <row r="14" spans="1:11" x14ac:dyDescent="0.25">
      <c r="A14" s="15" t="s">
        <v>471</v>
      </c>
      <c r="B14" s="7">
        <f t="shared" si="1"/>
        <v>3</v>
      </c>
      <c r="C14" s="7" t="str">
        <f t="shared" si="0"/>
        <v>Comment se propage la chaleur par rayonnement ?|Par la masse du matériau|Par projection de particules incandescentes|Par déplacement de la fumée|Par mouvement des gaz chauds|Par l’intermédiaire d’ondes électromagnétiques|Aucune des réponses précédentes</v>
      </c>
      <c r="D14" t="str" cm="1">
        <f t="array" ref="D14:J14">_xlfn.TEXTSPLIT(C14,"|")</f>
        <v>Comment se propage la chaleur par rayonnement ?</v>
      </c>
      <c r="E14" t="str">
        <v>Par la masse du matériau</v>
      </c>
      <c r="F14" t="str">
        <v>Par projection de particules incandescentes</v>
      </c>
      <c r="G14" t="str">
        <v>Par déplacement de la fumée</v>
      </c>
      <c r="H14" t="str">
        <v>Par mouvement des gaz chauds</v>
      </c>
      <c r="I14" t="str">
        <v>Par l’intermédiaire d’ondes électromagnétiques</v>
      </c>
      <c r="J14" t="str">
        <v>Aucune des réponses précédentes</v>
      </c>
    </row>
    <row r="15" spans="1:11" x14ac:dyDescent="0.25">
      <c r="A15" s="15" t="s">
        <v>472</v>
      </c>
      <c r="B15" s="7">
        <f t="shared" si="1"/>
        <v>3</v>
      </c>
      <c r="C15" s="7" t="str">
        <f t="shared" si="0"/>
        <v>Qu’est-ce que la conduction dans un feu ?|C’est la transmission de la chaleur par la masse même du matériau|C’est la transmission de la chaleur par l’intermédiaire de l’air|C’est la transmission de la chaleur par l’intermédiaire d’ondes électromagnétiques|C’est la transmission de la chaleur par l’intermédiaire de particules incandescentes|Aucune des réponses précédentes</v>
      </c>
      <c r="D15" t="str" cm="1">
        <f t="array" ref="D15:I15">_xlfn.TEXTSPLIT(C15,"|")</f>
        <v>Qu’est-ce que la conduction dans un feu ?</v>
      </c>
      <c r="E15" t="str">
        <v>C’est la transmission de la chaleur par la masse même du matériau</v>
      </c>
      <c r="F15" t="str">
        <v>C’est la transmission de la chaleur par l’intermédiaire de l’air</v>
      </c>
      <c r="G15" t="str">
        <v>C’est la transmission de la chaleur par l’intermédiaire d’ondes électromagnétiques</v>
      </c>
      <c r="H15" t="str">
        <v>C’est la transmission de la chaleur par l’intermédiaire de particules incandescentes</v>
      </c>
      <c r="I15" t="str">
        <v>Aucune des réponses précédentes</v>
      </c>
    </row>
    <row r="16" spans="1:11" x14ac:dyDescent="0.25">
      <c r="A16" s="15" t="s">
        <v>473</v>
      </c>
      <c r="B16" s="7">
        <f t="shared" si="1"/>
        <v>3</v>
      </c>
      <c r="C16" s="7" t="str">
        <f t="shared" si="0"/>
        <v>Quels sont les modes de propagation d’un incendie ?|Le rayonnement|Les projections|La conviction|La conduction|La fragmentation|La convection|Aucune des réponses précédentes</v>
      </c>
      <c r="D16" t="str" cm="1">
        <f t="array" ref="D16:K16">_xlfn.TEXTSPLIT(C16,"|")</f>
        <v>Quels sont les modes de propagation d’un incendie ?</v>
      </c>
      <c r="E16" t="str">
        <v>Le rayonnement</v>
      </c>
      <c r="F16" t="str">
        <v>Les projections</v>
      </c>
      <c r="G16" t="str">
        <v>La conviction</v>
      </c>
      <c r="H16" t="str">
        <v>La conduction</v>
      </c>
      <c r="I16" t="str">
        <v>La fragmentation</v>
      </c>
      <c r="J16" t="str">
        <v>La convection</v>
      </c>
      <c r="K16" t="str">
        <v>Aucune des réponses précédentes</v>
      </c>
    </row>
    <row r="17" spans="1:11" ht="20.25" x14ac:dyDescent="0.25">
      <c r="A17" s="13" t="s">
        <v>474</v>
      </c>
      <c r="B17" s="7" t="e">
        <f t="shared" si="1"/>
        <v>#VALUE!</v>
      </c>
      <c r="C17" s="7" t="e">
        <f t="shared" si="0"/>
        <v>#VALUE!</v>
      </c>
      <c r="D17" t="e" cm="1">
        <f t="array" ref="D17">_xlfn.TEXTSPLIT(C17,"|")</f>
        <v>#VALUE!</v>
      </c>
    </row>
    <row r="18" spans="1:11" x14ac:dyDescent="0.25">
      <c r="A18" s="15" t="s">
        <v>475</v>
      </c>
      <c r="B18" s="7">
        <f t="shared" si="1"/>
        <v>2</v>
      </c>
      <c r="C18" s="7" t="str">
        <f t="shared" si="0"/>
        <v>À quoi s’applique la résistance au feu ?|Aux matériaux utilisés pour l’ameublement|Aux éléments de construction|Aux revêtements de sol|Aux piliers|À la quantité de chaleur dégagée|Aucune des réponses précédentes</v>
      </c>
      <c r="D18" t="str" cm="1">
        <f t="array" ref="D18:J18">_xlfn.TEXTSPLIT(C18,"|")</f>
        <v>À quoi s’applique la résistance au feu ?</v>
      </c>
      <c r="E18" t="str">
        <v>Aux matériaux utilisés pour l’ameublement</v>
      </c>
      <c r="F18" t="str">
        <v>Aux éléments de construction</v>
      </c>
      <c r="G18" t="str">
        <v>Aux revêtements de sol</v>
      </c>
      <c r="H18" t="str">
        <v>Aux piliers</v>
      </c>
      <c r="I18" t="str">
        <v>À la quantité de chaleur dégagée</v>
      </c>
      <c r="J18" t="str">
        <v>Aucune des réponses précédentes</v>
      </c>
    </row>
    <row r="19" spans="1:11" x14ac:dyDescent="0.25">
      <c r="A19" s="15" t="s">
        <v>476</v>
      </c>
      <c r="B19" s="7">
        <f t="shared" si="1"/>
        <v>2</v>
      </c>
      <c r="C19" s="7" t="str">
        <f t="shared" si="0"/>
        <v>Comment sont exprimées les durées de résistance au feu, dans les euroclasses ?|En secondes|En minutes|En heures|En heures et minutes|Aucune des réponses précédentes</v>
      </c>
      <c r="D19" t="str" cm="1">
        <f t="array" ref="D19:I19">_xlfn.TEXTSPLIT(C19,"|")</f>
        <v>Comment sont exprimées les durées de résistance au feu, dans les euroclasses ?</v>
      </c>
      <c r="E19" t="str">
        <v>En secondes</v>
      </c>
      <c r="F19" t="str">
        <v>En minutes</v>
      </c>
      <c r="G19" t="str">
        <v>En heures</v>
      </c>
      <c r="H19" t="str">
        <v>En heures et minutes</v>
      </c>
      <c r="I19" t="str">
        <v>Aucune des réponses précédentes</v>
      </c>
    </row>
    <row r="20" spans="1:11" x14ac:dyDescent="0.25">
      <c r="A20" s="15" t="s">
        <v>477</v>
      </c>
      <c r="B20" s="7">
        <f t="shared" si="1"/>
        <v>2</v>
      </c>
      <c r="C20" s="7" t="str">
        <f t="shared" si="0"/>
        <v>SF-PF-CF correspondent :|À la résistance au feu des éléments de construction|À la réaction au feu des matériaux de construction|Aux niveaux d’accès du S.S.I|Aux classements d’E.R.P|Aucune des réponses précédentes</v>
      </c>
      <c r="D20" t="str" cm="1">
        <f t="array" ref="D20:I20">_xlfn.TEXTSPLIT(C20,"|")</f>
        <v>SF-PF-CF correspondent :</v>
      </c>
      <c r="E20" t="str">
        <v>À la résistance au feu des éléments de construction</v>
      </c>
      <c r="F20" t="str">
        <v>À la réaction au feu des matériaux de construction</v>
      </c>
      <c r="G20" t="str">
        <v>Aux niveaux d’accès du S.S.I</v>
      </c>
      <c r="H20" t="str">
        <v>Aux classements d’E.R.P</v>
      </c>
      <c r="I20" t="str">
        <v>Aucune des réponses précédentes</v>
      </c>
    </row>
    <row r="21" spans="1:11" x14ac:dyDescent="0.25">
      <c r="A21" s="15" t="s">
        <v>478</v>
      </c>
      <c r="B21" s="7">
        <f t="shared" si="1"/>
        <v>2</v>
      </c>
      <c r="C21" s="7" t="str">
        <f t="shared" si="0"/>
        <v>La réaction au feu d’un matériau peut être notée :|SF|A1|CF|M0|M2|Aucune des réponses précédentes</v>
      </c>
      <c r="D21" t="str" cm="1">
        <f t="array" ref="D21:J21">_xlfn.TEXTSPLIT(C21,"|")</f>
        <v>La réaction au feu d’un matériau peut être notée :</v>
      </c>
      <c r="E21" t="str">
        <v>SF</v>
      </c>
      <c r="F21" t="str">
        <v>A1</v>
      </c>
      <c r="G21" t="str">
        <v>CF</v>
      </c>
      <c r="H21" t="str">
        <v>M0</v>
      </c>
      <c r="I21" t="str">
        <v>M2</v>
      </c>
      <c r="J21" t="str">
        <v>Aucune des réponses précédentes</v>
      </c>
    </row>
    <row r="22" spans="1:11" x14ac:dyDescent="0.25">
      <c r="A22" s="15" t="s">
        <v>479</v>
      </c>
      <c r="B22" s="7">
        <f t="shared" si="1"/>
        <v>2</v>
      </c>
      <c r="C22" s="7" t="str">
        <f t="shared" si="0"/>
        <v>Le classement M1 correspond à :|La résistance au feu d’une porte|Le potentiel d’extinction d’un extincteur|La réaction au feu d’un matériau|La manœuvre mensuelle obligatoire|Aucune des réponses précédentes</v>
      </c>
      <c r="D22" t="str" cm="1">
        <f t="array" ref="D22:I22">_xlfn.TEXTSPLIT(C22,"|")</f>
        <v>Le classement M1 correspond à :</v>
      </c>
      <c r="E22" t="str">
        <v>La résistance au feu d’une porte</v>
      </c>
      <c r="F22" t="str">
        <v>Le potentiel d’extinction d’un extincteur</v>
      </c>
      <c r="G22" t="str">
        <v>La réaction au feu d’un matériau</v>
      </c>
      <c r="H22" t="str">
        <v>La manœuvre mensuelle obligatoire</v>
      </c>
      <c r="I22" t="str">
        <v>Aucune des réponses précédentes</v>
      </c>
    </row>
    <row r="23" spans="1:11" x14ac:dyDescent="0.25">
      <c r="A23" s="15" t="s">
        <v>480</v>
      </c>
      <c r="B23" s="7">
        <f t="shared" si="1"/>
        <v>2</v>
      </c>
      <c r="C23" s="7" t="str">
        <f t="shared" si="0"/>
        <v>Un classement de réaction au feu est demandé pour :|Un revêtement mural|Un rétroprojecteur|Un revêtement de sol|Un gros mobilier|Aucune des réponses précédentes</v>
      </c>
      <c r="D23" t="str" cm="1">
        <f t="array" ref="D23:I23">_xlfn.TEXTSPLIT(C23,"|")</f>
        <v>Un classement de réaction au feu est demandé pour :</v>
      </c>
      <c r="E23" t="str">
        <v>Un revêtement mural</v>
      </c>
      <c r="F23" t="str">
        <v>Un rétroprojecteur</v>
      </c>
      <c r="G23" t="str">
        <v>Un revêtement de sol</v>
      </c>
      <c r="H23" t="str">
        <v>Un gros mobilier</v>
      </c>
      <c r="I23" t="str">
        <v>Aucune des réponses précédentes</v>
      </c>
    </row>
    <row r="24" spans="1:11" x14ac:dyDescent="0.25">
      <c r="A24" s="15" t="s">
        <v>481</v>
      </c>
      <c r="B24" s="7">
        <f t="shared" si="1"/>
        <v>2</v>
      </c>
      <c r="C24" s="7" t="str">
        <f t="shared" si="0"/>
        <v>En ERP, donnez les principales règles pour le revêtement des escaliers encloisonnés ?|M1 pour les murs|M2 pour le sol|M3 pour le plafond|M4 pour le sol|M1 pour le plafond|M3 pour le sol|Aucune des réponses précédentes</v>
      </c>
      <c r="D24" t="str" cm="1">
        <f t="array" ref="D24:K24">_xlfn.TEXTSPLIT(C24,"|")</f>
        <v>En ERP, donnez les principales règles pour le revêtement des escaliers encloisonnés ?</v>
      </c>
      <c r="E24" t="str">
        <v>M1 pour les murs</v>
      </c>
      <c r="F24" t="str">
        <v>M2 pour le sol</v>
      </c>
      <c r="G24" t="str">
        <v>M3 pour le plafond</v>
      </c>
      <c r="H24" t="str">
        <v>M4 pour le sol</v>
      </c>
      <c r="I24" t="str">
        <v>M1 pour le plafond</v>
      </c>
      <c r="J24" t="str">
        <v>M3 pour le sol</v>
      </c>
      <c r="K24" t="str">
        <v>Aucune des réponses précédentes</v>
      </c>
    </row>
    <row r="25" spans="1:11" x14ac:dyDescent="0.25">
      <c r="A25" s="15" t="s">
        <v>482</v>
      </c>
      <c r="B25" s="7">
        <f t="shared" si="1"/>
        <v>2</v>
      </c>
      <c r="C25" s="7" t="str">
        <f t="shared" si="0"/>
        <v>La résistance au feu s’applique :|Aux meubles|Aux sapins de Noël|Aux objets|Aux éléments de construction|Aucune des réponses précédentes</v>
      </c>
      <c r="D25" t="str" cm="1">
        <f t="array" ref="D25:I25">_xlfn.TEXTSPLIT(C25,"|")</f>
        <v>La résistance au feu s’applique :</v>
      </c>
      <c r="E25" t="str">
        <v>Aux meubles</v>
      </c>
      <c r="F25" t="str">
        <v>Aux sapins de Noël</v>
      </c>
      <c r="G25" t="str">
        <v>Aux objets</v>
      </c>
      <c r="H25" t="str">
        <v>Aux éléments de construction</v>
      </c>
      <c r="I25" t="str">
        <v>Aucune des réponses précédentes</v>
      </c>
    </row>
    <row r="26" spans="1:11" x14ac:dyDescent="0.25">
      <c r="A26" s="15" t="s">
        <v>483</v>
      </c>
      <c r="B26" s="7">
        <f t="shared" si="1"/>
        <v>2</v>
      </c>
      <c r="C26" s="7" t="str">
        <f t="shared" si="0"/>
        <v>Un élément de construction qui résiste au feu peut être classé :|Coupe-feu|REI|Pare-feu|A.E.S.|Stable au feu|Aucune des réponses précédentes</v>
      </c>
      <c r="D26" t="str" cm="1">
        <f t="array" ref="D26:J26">_xlfn.TEXTSPLIT(C26,"|")</f>
        <v>Un élément de construction qui résiste au feu peut être classé :</v>
      </c>
      <c r="E26" t="str">
        <v>Coupe-feu</v>
      </c>
      <c r="F26" t="str">
        <v>REI</v>
      </c>
      <c r="G26" t="str">
        <v>Pare-feu</v>
      </c>
      <c r="H26" t="str">
        <v>A.E.S.</v>
      </c>
      <c r="I26" t="str">
        <v>Stable au feu</v>
      </c>
      <c r="J26" t="str">
        <v>Aucune des réponses précédentes</v>
      </c>
    </row>
    <row r="27" spans="1:11" ht="25.5" x14ac:dyDescent="0.25">
      <c r="A27" s="12" t="s">
        <v>484</v>
      </c>
      <c r="B27" s="7" t="e">
        <f t="shared" si="1"/>
        <v>#VALUE!</v>
      </c>
      <c r="C27" s="7" t="e">
        <f t="shared" si="0"/>
        <v>#VALUE!</v>
      </c>
      <c r="D27" t="e" cm="1">
        <f t="array" ref="D27">_xlfn.TEXTSPLIT(C27,"|")</f>
        <v>#VALUE!</v>
      </c>
    </row>
    <row r="28" spans="1:11" ht="20.25" x14ac:dyDescent="0.25">
      <c r="A28" s="13" t="s">
        <v>485</v>
      </c>
      <c r="B28" s="7" t="e">
        <f t="shared" si="1"/>
        <v>#VALUE!</v>
      </c>
      <c r="C28" s="7" t="e">
        <f t="shared" si="0"/>
        <v>#VALUE!</v>
      </c>
      <c r="D28" t="e" cm="1">
        <f t="array" ref="D28">_xlfn.TEXTSPLIT(C28,"|")</f>
        <v>#VALUE!</v>
      </c>
    </row>
    <row r="29" spans="1:11" x14ac:dyDescent="0.25">
      <c r="A29" s="15" t="s">
        <v>486</v>
      </c>
      <c r="B29" s="7">
        <f t="shared" si="1"/>
        <v>2</v>
      </c>
      <c r="C29" s="7" t="str">
        <f t="shared" si="0"/>
        <v>Quel établissement suivant est classé en type OA ?|Un hôtel habité|Un hôtel d’altitude|Une habitation occupée|Un organisme agréé|Aucune des réponses précédentes</v>
      </c>
      <c r="D29" t="str" cm="1">
        <f t="array" ref="D29:I29">_xlfn.TEXTSPLIT(C29,"|")</f>
        <v>Quel établissement suivant est classé en type OA ?</v>
      </c>
      <c r="E29" t="str">
        <v>Un hôtel habité</v>
      </c>
      <c r="F29" t="str">
        <v>Un hôtel d’altitude</v>
      </c>
      <c r="G29" t="str">
        <v>Une habitation occupée</v>
      </c>
      <c r="H29" t="str">
        <v>Un organisme agréé</v>
      </c>
      <c r="I29" t="str">
        <v>Aucune des réponses précédentes</v>
      </c>
    </row>
    <row r="30" spans="1:11" x14ac:dyDescent="0.25">
      <c r="A30" s="15" t="s">
        <v>487</v>
      </c>
      <c r="B30" s="7">
        <f t="shared" si="1"/>
        <v>2</v>
      </c>
      <c r="C30" s="7" t="str">
        <f t="shared" si="0"/>
        <v>Qu’est-ce qu’un établissement de type PA ?|Un parc automobile|Un stand de tir|Un centre de formation professionnel pour adultes|Aucune des réponses précédentes</v>
      </c>
      <c r="D30" t="str" cm="1">
        <f t="array" ref="D30:H30">_xlfn.TEXTSPLIT(C30,"|")</f>
        <v>Qu’est-ce qu’un établissement de type PA ?</v>
      </c>
      <c r="E30" t="str">
        <v>Un parc automobile</v>
      </c>
      <c r="F30" t="str">
        <v>Un stand de tir</v>
      </c>
      <c r="G30" t="str">
        <v>Un centre de formation professionnel pour adultes</v>
      </c>
      <c r="H30" t="str">
        <v>Aucune des réponses précédentes</v>
      </c>
    </row>
    <row r="31" spans="1:11" x14ac:dyDescent="0.25">
      <c r="A31" s="15" t="s">
        <v>488</v>
      </c>
      <c r="B31" s="7">
        <f t="shared" si="1"/>
        <v>2</v>
      </c>
      <c r="C31" s="7" t="str">
        <f t="shared" si="0"/>
        <v>Parmi les établissements suivants, lesquels sont des ERP ?|Un train de voyageur|Un parc d’exposition|Une salle de concert|Un dépôt de gaz|Une menuiserie|Aucune des réponses précédentes</v>
      </c>
      <c r="D31" t="str" cm="1">
        <f t="array" ref="D31:J31">_xlfn.TEXTSPLIT(C31,"|")</f>
        <v>Parmi les établissements suivants, lesquels sont des ERP ?</v>
      </c>
      <c r="E31" t="str">
        <v>Un train de voyageur</v>
      </c>
      <c r="F31" t="str">
        <v>Un parc d’exposition</v>
      </c>
      <c r="G31" t="str">
        <v>Une salle de concert</v>
      </c>
      <c r="H31" t="str">
        <v>Un dépôt de gaz</v>
      </c>
      <c r="I31" t="str">
        <v>Une menuiserie</v>
      </c>
      <c r="J31" t="str">
        <v>Aucune des réponses précédentes</v>
      </c>
    </row>
    <row r="32" spans="1:11" x14ac:dyDescent="0.25">
      <c r="A32" s="15" t="s">
        <v>489</v>
      </c>
      <c r="B32" s="7">
        <f t="shared" si="1"/>
        <v>2</v>
      </c>
      <c r="C32" s="7" t="str">
        <f t="shared" si="0"/>
        <v>Quel règlement de sécurité incendie est applicable aux E.R.P. du 1er groupe ?|L’arrêté du 08 mai 1968 modifié|L’arrêté du 18 octobre 1977 modifié|L’arrêté du 25 juin 1980 modifié|L’arrêté du 02 mai 2005 modifié|L’arrêté du 23 août 2008 modifié|Aucune des réponses précédentes</v>
      </c>
      <c r="D32" t="str" cm="1">
        <f t="array" ref="D32:J32">_xlfn.TEXTSPLIT(C32,"|")</f>
        <v>Quel règlement de sécurité incendie est applicable aux E.R.P. du 1er groupe ?</v>
      </c>
      <c r="E32" t="str">
        <v>L’arrêté du 08 mai 1968 modifié</v>
      </c>
      <c r="F32" t="str">
        <v>L’arrêté du 18 octobre 1977 modifié</v>
      </c>
      <c r="G32" t="str">
        <v>L’arrêté du 25 juin 1980 modifié</v>
      </c>
      <c r="H32" t="str">
        <v>L’arrêté du 02 mai 2005 modifié</v>
      </c>
      <c r="I32" t="str">
        <v>L’arrêté du 23 août 2008 modifié</v>
      </c>
      <c r="J32" t="str">
        <v>Aucune des réponses précédentes</v>
      </c>
    </row>
    <row r="33" spans="1:11" x14ac:dyDescent="0.25">
      <c r="A33" s="15" t="s">
        <v>490</v>
      </c>
      <c r="B33" s="7">
        <f t="shared" si="1"/>
        <v>2</v>
      </c>
      <c r="C33" s="7" t="str">
        <f t="shared" si="0"/>
        <v>Une maison d’accueil pour handicapés pouvant recevoir 308 personnes est classée :|Type J|Type U|Type R|2ème catégorie|3ème catégorie|4ème catégorie|Aucune des réponses précédentes</v>
      </c>
      <c r="D33" t="str" cm="1">
        <f t="array" ref="D33:K33">_xlfn.TEXTSPLIT(C33,"|")</f>
        <v>Une maison d’accueil pour handicapés pouvant recevoir 308 personnes est classée :</v>
      </c>
      <c r="E33" t="str">
        <v>Type J</v>
      </c>
      <c r="F33" t="str">
        <v>Type U</v>
      </c>
      <c r="G33" t="str">
        <v>Type R</v>
      </c>
      <c r="H33" t="str">
        <v>2ème catégorie</v>
      </c>
      <c r="I33" t="str">
        <v>3ème catégorie</v>
      </c>
      <c r="J33" t="str">
        <v>4ème catégorie</v>
      </c>
      <c r="K33" t="str">
        <v>Aucune des réponses précédentes</v>
      </c>
    </row>
    <row r="34" spans="1:11" x14ac:dyDescent="0.25">
      <c r="A34" s="15" t="s">
        <v>491</v>
      </c>
      <c r="B34" s="7">
        <f t="shared" si="1"/>
        <v>2</v>
      </c>
      <c r="C34" s="7" t="str">
        <f t="shared" si="0"/>
        <v>Les ERP sont classés par catégorie en fonction :|Du nombre maximum de personnes admises|Du nombre d’étages|Du nombre de locaux|Du nombre de sorties|Aucune des réponses précédentes</v>
      </c>
      <c r="D34" t="str" cm="1">
        <f t="array" ref="D34:I34">_xlfn.TEXTSPLIT(C34,"|")</f>
        <v>Les ERP sont classés par catégorie en fonction :</v>
      </c>
      <c r="E34" t="str">
        <v>Du nombre maximum de personnes admises</v>
      </c>
      <c r="F34" t="str">
        <v>Du nombre d’étages</v>
      </c>
      <c r="G34" t="str">
        <v>Du nombre de locaux</v>
      </c>
      <c r="H34" t="str">
        <v>Du nombre de sorties</v>
      </c>
      <c r="I34" t="str">
        <v>Aucune des réponses précédentes</v>
      </c>
    </row>
    <row r="35" spans="1:11" ht="25.5" x14ac:dyDescent="0.25">
      <c r="A35" s="12" t="s">
        <v>492</v>
      </c>
      <c r="B35" s="7" t="e">
        <f t="shared" ref="B35:B98" si="2">FIND(". ",A35)</f>
        <v>#VALUE!</v>
      </c>
      <c r="C35" s="7" t="e">
        <f t="shared" ref="C35:C98" si="3">RIGHT(A35, LEN(A35)-(B35+1))</f>
        <v>#VALUE!</v>
      </c>
      <c r="D35" t="e" cm="1">
        <f t="array" ref="D35">_xlfn.TEXTSPLIT(C35,"|")</f>
        <v>#VALUE!</v>
      </c>
    </row>
    <row r="36" spans="1:11" ht="20.25" x14ac:dyDescent="0.25">
      <c r="A36" s="13" t="s">
        <v>493</v>
      </c>
      <c r="B36" s="7" t="e">
        <f t="shared" si="2"/>
        <v>#VALUE!</v>
      </c>
      <c r="C36" s="7" t="e">
        <f t="shared" si="3"/>
        <v>#VALUE!</v>
      </c>
      <c r="D36" t="e" cm="1">
        <f t="array" ref="D36">_xlfn.TEXTSPLIT(C36,"|")</f>
        <v>#VALUE!</v>
      </c>
    </row>
    <row r="37" spans="1:11" x14ac:dyDescent="0.25">
      <c r="A37" s="15" t="s">
        <v>494</v>
      </c>
      <c r="B37" s="7">
        <f t="shared" si="2"/>
        <v>2</v>
      </c>
      <c r="C37" s="7" t="str">
        <f t="shared" si="3"/>
        <v>Les IGH à usage exclusif de bureaux sont classés de la façon suivante :|GHZ|GHR|GHW1|GHW2|Aucune des réponses précédentes</v>
      </c>
      <c r="D37" t="str" cm="1">
        <f t="array" ref="D37:I37">_xlfn.TEXTSPLIT(C37,"|")</f>
        <v>Les IGH à usage exclusif de bureaux sont classés de la façon suivante :</v>
      </c>
      <c r="E37" t="str">
        <v>GHZ</v>
      </c>
      <c r="F37" t="str">
        <v>GHR</v>
      </c>
      <c r="G37" t="str">
        <v>GHW1</v>
      </c>
      <c r="H37" t="str">
        <v>GHW2</v>
      </c>
      <c r="I37" t="str">
        <v>Aucune des réponses précédentes</v>
      </c>
    </row>
    <row r="38" spans="1:11" x14ac:dyDescent="0.25">
      <c r="A38" s="15" t="s">
        <v>495</v>
      </c>
      <c r="B38" s="7">
        <f t="shared" si="2"/>
        <v>2</v>
      </c>
      <c r="C38" s="7" t="str">
        <f t="shared" si="3"/>
        <v>Le classement d’un bâtiment en immeuble de grande hauteur est déterminé d’après :|La catégorie de l’établissement|La surface accessible au public|La hauteur du plancher bas du dernier niveau|La commission de sécurité compétente|Aucune des réponses précédentes</v>
      </c>
      <c r="D38" t="str" cm="1">
        <f t="array" ref="D38:I38">_xlfn.TEXTSPLIT(C38,"|")</f>
        <v>Le classement d’un bâtiment en immeuble de grande hauteur est déterminé d’après :</v>
      </c>
      <c r="E38" t="str">
        <v>La catégorie de l’établissement</v>
      </c>
      <c r="F38" t="str">
        <v>La surface accessible au public</v>
      </c>
      <c r="G38" t="str">
        <v>La hauteur du plancher bas du dernier niveau</v>
      </c>
      <c r="H38" t="str">
        <v>La commission de sécurité compétente</v>
      </c>
      <c r="I38" t="str">
        <v>Aucune des réponses précédentes</v>
      </c>
    </row>
    <row r="39" spans="1:11" x14ac:dyDescent="0.25">
      <c r="A39" s="15" t="s">
        <v>496</v>
      </c>
      <c r="B39" s="7">
        <f t="shared" si="2"/>
        <v>2</v>
      </c>
      <c r="C39" s="7" t="str">
        <f t="shared" si="3"/>
        <v>Qu’est-ce qu’un GH S ?|Un IGH à usage mixte|Un IGH d’enseignement|Un IGH d’habitation|Un IGH d’archives|Aucune des réponses précédentes</v>
      </c>
      <c r="D39" t="str" cm="1">
        <f t="array" ref="D39:I39">_xlfn.TEXTSPLIT(C39,"|")</f>
        <v>Qu’est-ce qu’un GH S ?</v>
      </c>
      <c r="E39" t="str">
        <v>Un IGH à usage mixte</v>
      </c>
      <c r="F39" t="str">
        <v>Un IGH d’enseignement</v>
      </c>
      <c r="G39" t="str">
        <v>Un IGH d’habitation</v>
      </c>
      <c r="H39" t="str">
        <v>Un IGH d’archives</v>
      </c>
      <c r="I39" t="str">
        <v>Aucune des réponses précédentes</v>
      </c>
    </row>
    <row r="40" spans="1:11" x14ac:dyDescent="0.25">
      <c r="A40" s="15" t="s">
        <v>497</v>
      </c>
      <c r="B40" s="7">
        <f t="shared" si="2"/>
        <v>2</v>
      </c>
      <c r="C40" s="7" t="str">
        <f t="shared" si="3"/>
        <v>Est considéré comme IGH, tout bâtiment dont le plancher bas du dernier niveau est situé à plus de :|50 mètres pour les immeubles à usage d’habitation|28 mètres pour les immeubles ne relevant pas de l’habitation|28 mètres pour les immeubles à usage d’habitation|Aucune des réponses précédentes</v>
      </c>
      <c r="D40" t="str" cm="1">
        <f t="array" ref="D40:H40">_xlfn.TEXTSPLIT(C40,"|")</f>
        <v>Est considéré comme IGH, tout bâtiment dont le plancher bas du dernier niveau est situé à plus de :</v>
      </c>
      <c r="E40" t="str">
        <v>50 mètres pour les immeubles à usage d’habitation</v>
      </c>
      <c r="F40" t="str">
        <v>28 mètres pour les immeubles ne relevant pas de l’habitation</v>
      </c>
      <c r="G40" t="str">
        <v>28 mètres pour les immeubles à usage d’habitation</v>
      </c>
      <c r="H40" t="str">
        <v>Aucune des réponses précédentes</v>
      </c>
    </row>
    <row r="41" spans="1:11" x14ac:dyDescent="0.25">
      <c r="A41" s="15" t="s">
        <v>498</v>
      </c>
      <c r="B41" s="7">
        <f t="shared" si="2"/>
        <v>2</v>
      </c>
      <c r="C41" s="7" t="str">
        <f t="shared" si="3"/>
        <v>Un immeuble à usage de bureau dont le plancher bas du dernier niveau est situé à 18 mètres de hauteur sera classé en :|GH U|GH W1|GH W2|GH Z|Aucune des réponses précédentes</v>
      </c>
      <c r="D41" t="str" cm="1">
        <f t="array" ref="D41:I41">_xlfn.TEXTSPLIT(C41,"|")</f>
        <v>Un immeuble à usage de bureau dont le plancher bas du dernier niveau est situé à 18 mètres de hauteur sera classé en :</v>
      </c>
      <c r="E41" t="str">
        <v>GH U</v>
      </c>
      <c r="F41" t="str">
        <v>GH W1</v>
      </c>
      <c r="G41" t="str">
        <v>GH W2</v>
      </c>
      <c r="H41" t="str">
        <v>GH Z</v>
      </c>
      <c r="I41" t="str">
        <v>Aucune des réponses précédentes</v>
      </c>
    </row>
    <row r="42" spans="1:11" x14ac:dyDescent="0.25">
      <c r="A42" s="15" t="s">
        <v>499</v>
      </c>
      <c r="B42" s="7">
        <f t="shared" si="2"/>
        <v>2</v>
      </c>
      <c r="C42" s="7" t="str">
        <f t="shared" si="3"/>
        <v>Qu’est-ce qu’un GH U ?|Un IGH à usage d’habitation|Un IGH à usage de bureaux|Un IGH à usage mixte|Un IGH à usage d’archives|Aucune des réponses précédentes</v>
      </c>
      <c r="D42" t="str" cm="1">
        <f t="array" ref="D42:I42">_xlfn.TEXTSPLIT(C42,"|")</f>
        <v>Qu’est-ce qu’un GH U ?</v>
      </c>
      <c r="E42" t="str">
        <v>Un IGH à usage d’habitation</v>
      </c>
      <c r="F42" t="str">
        <v>Un IGH à usage de bureaux</v>
      </c>
      <c r="G42" t="str">
        <v>Un IGH à usage mixte</v>
      </c>
      <c r="H42" t="str">
        <v>Un IGH à usage d’archives</v>
      </c>
      <c r="I42" t="str">
        <v>Aucune des réponses précédentes</v>
      </c>
    </row>
    <row r="43" spans="1:11" x14ac:dyDescent="0.25">
      <c r="A43" s="15" t="s">
        <v>500</v>
      </c>
      <c r="B43" s="7">
        <f t="shared" si="2"/>
        <v>2</v>
      </c>
      <c r="C43" s="7" t="str">
        <f t="shared" si="3"/>
        <v>Qu’est-ce qu’un GH A ?|Un IGH d’habitation|Un IGH de bureaux|Un IGH hôtelier|Un IGH hospitalier|Aucune des réponses précédentes</v>
      </c>
      <c r="D43" t="str" cm="1">
        <f t="array" ref="D43:I43">_xlfn.TEXTSPLIT(C43,"|")</f>
        <v>Qu’est-ce qu’un GH A ?</v>
      </c>
      <c r="E43" t="str">
        <v>Un IGH d’habitation</v>
      </c>
      <c r="F43" t="str">
        <v>Un IGH de bureaux</v>
      </c>
      <c r="G43" t="str">
        <v>Un IGH hôtelier</v>
      </c>
      <c r="H43" t="str">
        <v>Un IGH hospitalier</v>
      </c>
      <c r="I43" t="str">
        <v>Aucune des réponses précédentes</v>
      </c>
    </row>
    <row r="44" spans="1:11" ht="25.5" x14ac:dyDescent="0.25">
      <c r="A44" s="12" t="s">
        <v>501</v>
      </c>
      <c r="B44" s="7" t="e">
        <f t="shared" si="2"/>
        <v>#VALUE!</v>
      </c>
      <c r="C44" s="7" t="e">
        <f t="shared" si="3"/>
        <v>#VALUE!</v>
      </c>
      <c r="D44" t="e" cm="1">
        <f t="array" ref="D44">_xlfn.TEXTSPLIT(C44,"|")</f>
        <v>#VALUE!</v>
      </c>
    </row>
    <row r="45" spans="1:11" ht="20.25" x14ac:dyDescent="0.25">
      <c r="A45" s="13" t="s">
        <v>502</v>
      </c>
      <c r="B45" s="7" t="e">
        <f t="shared" si="2"/>
        <v>#VALUE!</v>
      </c>
      <c r="C45" s="7" t="e">
        <f t="shared" si="3"/>
        <v>#VALUE!</v>
      </c>
      <c r="D45" t="e" cm="1">
        <f t="array" ref="D45">_xlfn.TEXTSPLIT(C45,"|")</f>
        <v>#VALUE!</v>
      </c>
    </row>
    <row r="46" spans="1:11" x14ac:dyDescent="0.25">
      <c r="A46" s="15" t="s">
        <v>503</v>
      </c>
      <c r="B46" s="7">
        <f t="shared" si="2"/>
        <v>2</v>
      </c>
      <c r="C46" s="7" t="str">
        <f t="shared" si="3"/>
        <v>Quels sont les principes généraux de sécurité en ERP ?|Assurer uniquement la sauvegarde des biens|Permettre une évacuation rapide et sûre des occupants|Gérer le sinistre à la place des secours extérieurs|Limiter la propagation du feu|Faciliter l’intervention des secours|Aucune des réponses précédentes</v>
      </c>
      <c r="D46" t="str" cm="1">
        <f t="array" ref="D46:J46">_xlfn.TEXTSPLIT(C46,"|")</f>
        <v>Quels sont les principes généraux de sécurité en ERP ?</v>
      </c>
      <c r="E46" t="str">
        <v>Assurer uniquement la sauvegarde des biens</v>
      </c>
      <c r="F46" t="str">
        <v>Permettre une évacuation rapide et sûre des occupants</v>
      </c>
      <c r="G46" t="str">
        <v>Gérer le sinistre à la place des secours extérieurs</v>
      </c>
      <c r="H46" t="str">
        <v>Limiter la propagation du feu</v>
      </c>
      <c r="I46" t="str">
        <v>Faciliter l’intervention des secours</v>
      </c>
      <c r="J46" t="str">
        <v>Aucune des réponses précédentes</v>
      </c>
    </row>
    <row r="47" spans="1:11" ht="20.25" x14ac:dyDescent="0.25">
      <c r="A47" s="13" t="s">
        <v>504</v>
      </c>
      <c r="B47" s="7" t="e">
        <f t="shared" si="2"/>
        <v>#VALUE!</v>
      </c>
      <c r="C47" s="7" t="e">
        <f t="shared" si="3"/>
        <v>#VALUE!</v>
      </c>
      <c r="D47" t="e" cm="1">
        <f t="array" ref="D47">_xlfn.TEXTSPLIT(C47,"|")</f>
        <v>#VALUE!</v>
      </c>
    </row>
    <row r="48" spans="1:11" x14ac:dyDescent="0.25">
      <c r="A48" s="15" t="s">
        <v>505</v>
      </c>
      <c r="B48" s="7">
        <f t="shared" si="2"/>
        <v>2</v>
      </c>
      <c r="C48" s="7" t="str">
        <f t="shared" si="3"/>
        <v>En règle générale, un ERP est considéré comme isolé s’il est situé à une distance minimum de :|1 mètre du tiers|2 mètres du tiers|3 mètres du tiers|8 mètres du tiers|Aucune des réponses précédentes</v>
      </c>
      <c r="D48" t="str" cm="1">
        <f t="array" ref="D48:I48">_xlfn.TEXTSPLIT(C48,"|")</f>
        <v>En règle générale, un ERP est considéré comme isolé s’il est situé à une distance minimum de :</v>
      </c>
      <c r="E48" t="str">
        <v>1 mètre du tiers</v>
      </c>
      <c r="F48" t="str">
        <v>2 mètres du tiers</v>
      </c>
      <c r="G48" t="str">
        <v>3 mètres du tiers</v>
      </c>
      <c r="H48" t="str">
        <v>8 mètres du tiers</v>
      </c>
      <c r="I48" t="str">
        <v>Aucune des réponses précédentes</v>
      </c>
    </row>
    <row r="49" spans="1:11" x14ac:dyDescent="0.25">
      <c r="A49" s="15" t="s">
        <v>506</v>
      </c>
      <c r="B49" s="7">
        <f t="shared" si="2"/>
        <v>2</v>
      </c>
      <c r="C49" s="7" t="str">
        <f t="shared" si="3"/>
        <v>Quelle est l’utilité des baies accessibles ?|Elles permettent l’intervention des équipes de sécurité|Elles permettent l’intervention des services de secours|Elles permettent l’évacuation normale du public|Elles facilitent le nettoyage|Elles permettent la ventilation|Aucune des réponses précédentes</v>
      </c>
      <c r="D49" t="str" cm="1">
        <f t="array" ref="D49:J49">_xlfn.TEXTSPLIT(C49,"|")</f>
        <v>Quelle est l’utilité des baies accessibles ?</v>
      </c>
      <c r="E49" t="str">
        <v>Elles permettent l’intervention des équipes de sécurité</v>
      </c>
      <c r="F49" t="str">
        <v>Elles permettent l’intervention des services de secours</v>
      </c>
      <c r="G49" t="str">
        <v>Elles permettent l’évacuation normale du public</v>
      </c>
      <c r="H49" t="str">
        <v>Elles facilitent le nettoyage</v>
      </c>
      <c r="I49" t="str">
        <v>Elles permettent la ventilation</v>
      </c>
      <c r="J49" t="str">
        <v>Aucune des réponses précédentes</v>
      </c>
    </row>
    <row r="50" spans="1:11" x14ac:dyDescent="0.25">
      <c r="A50" s="15" t="s">
        <v>507</v>
      </c>
      <c r="B50" s="7">
        <f t="shared" si="2"/>
        <v>2</v>
      </c>
      <c r="C50" s="7" t="str">
        <f t="shared" si="3"/>
        <v>Un espace libre est un espace permettant :|Aux véhicules du public de stationner librement|Au public d’accéder librement à l’ERP|Aux pompiers d’accéder à l’établissement|Aux véhicules de livraisons de stationner librement|Aucune des réponses précédentes</v>
      </c>
      <c r="D50" t="str" cm="1">
        <f t="array" ref="D50:I50">_xlfn.TEXTSPLIT(C50,"|")</f>
        <v>Un espace libre est un espace permettant :</v>
      </c>
      <c r="E50" t="str">
        <v>Aux véhicules du public de stationner librement</v>
      </c>
      <c r="F50" t="str">
        <v>Au public d’accéder librement à l’ERP</v>
      </c>
      <c r="G50" t="str">
        <v>Aux pompiers d’accéder à l’établissement</v>
      </c>
      <c r="H50" t="str">
        <v>Aux véhicules de livraisons de stationner librement</v>
      </c>
      <c r="I50" t="str">
        <v>Aucune des réponses précédentes</v>
      </c>
    </row>
    <row r="51" spans="1:11" ht="20.25" x14ac:dyDescent="0.25">
      <c r="A51" s="13" t="s">
        <v>508</v>
      </c>
      <c r="B51" s="7" t="e">
        <f t="shared" si="2"/>
        <v>#VALUE!</v>
      </c>
      <c r="C51" s="7" t="e">
        <f t="shared" si="3"/>
        <v>#VALUE!</v>
      </c>
      <c r="D51" t="e" cm="1">
        <f t="array" ref="D51">_xlfn.TEXTSPLIT(C51,"|")</f>
        <v>#VALUE!</v>
      </c>
    </row>
    <row r="52" spans="1:11" x14ac:dyDescent="0.25">
      <c r="A52" s="15" t="s">
        <v>509</v>
      </c>
      <c r="B52" s="7">
        <f t="shared" si="2"/>
        <v>2</v>
      </c>
      <c r="C52" s="7" t="str">
        <f t="shared" si="3"/>
        <v>Quelles sont les différentes conceptions de distribution intérieure des locaux dans les E.R.P ?|Cloisonnement traditionnel|Cloisonnement moderne|Compartiment|Secteurs|Aucune des réponses précédentes</v>
      </c>
      <c r="D52" t="str" cm="1">
        <f t="array" ref="D52:I52">_xlfn.TEXTSPLIT(C52,"|")</f>
        <v>Quelles sont les différentes conceptions de distribution intérieure des locaux dans les E.R.P ?</v>
      </c>
      <c r="E52" t="str">
        <v>Cloisonnement traditionnel</v>
      </c>
      <c r="F52" t="str">
        <v>Cloisonnement moderne</v>
      </c>
      <c r="G52" t="str">
        <v>Compartiment</v>
      </c>
      <c r="H52" t="str">
        <v>Secteurs</v>
      </c>
      <c r="I52" t="str">
        <v>Aucune des réponses précédentes</v>
      </c>
    </row>
    <row r="53" spans="1:11" x14ac:dyDescent="0.25">
      <c r="A53" s="15" t="s">
        <v>510</v>
      </c>
      <c r="B53" s="7">
        <f t="shared" si="2"/>
        <v>2</v>
      </c>
      <c r="C53" s="7" t="str">
        <f t="shared" si="3"/>
        <v>En E.R.P, les locaux sont répartis en locaux à risques :|Normaux|Courants|Moyens|Importants|Dangereux|Aucune des réponses précédentes</v>
      </c>
      <c r="D53" t="str" cm="1">
        <f t="array" ref="D53:J53">_xlfn.TEXTSPLIT(C53,"|")</f>
        <v>En E.R.P, les locaux sont répartis en locaux à risques :</v>
      </c>
      <c r="E53" t="str">
        <v>Normaux</v>
      </c>
      <c r="F53" t="str">
        <v>Courants</v>
      </c>
      <c r="G53" t="str">
        <v>Moyens</v>
      </c>
      <c r="H53" t="str">
        <v>Importants</v>
      </c>
      <c r="I53" t="str">
        <v>Dangereux</v>
      </c>
      <c r="J53" t="str">
        <v>Aucune des réponses précédentes</v>
      </c>
    </row>
    <row r="54" spans="1:11" x14ac:dyDescent="0.25">
      <c r="A54" s="15" t="s">
        <v>511</v>
      </c>
      <c r="B54" s="7">
        <f t="shared" si="2"/>
        <v>2</v>
      </c>
      <c r="C54" s="7" t="str">
        <f t="shared" si="3"/>
        <v>En E.R.P. un local poubelle est un local classé :|À risques courants|À risques faibles|À risques particuliers|À risques ciblés|Aucune des réponses précédentes</v>
      </c>
      <c r="D54" t="str" cm="1">
        <f t="array" ref="D54:I54">_xlfn.TEXTSPLIT(C54,"|")</f>
        <v>En E.R.P. un local poubelle est un local classé :</v>
      </c>
      <c r="E54" t="str">
        <v>À risques courants</v>
      </c>
      <c r="F54" t="str">
        <v>À risques faibles</v>
      </c>
      <c r="G54" t="str">
        <v>À risques particuliers</v>
      </c>
      <c r="H54" t="str">
        <v>À risques ciblés</v>
      </c>
      <c r="I54" t="str">
        <v>Aucune des réponses précédentes</v>
      </c>
    </row>
    <row r="55" spans="1:11" x14ac:dyDescent="0.25">
      <c r="A55" s="15" t="s">
        <v>512</v>
      </c>
      <c r="B55" s="7">
        <f t="shared" si="2"/>
        <v>2</v>
      </c>
      <c r="C55" s="7" t="str">
        <f t="shared" si="3"/>
        <v>Sur une porte coupe-feu que puis-je trouver comme indication :|Porte coupe-feu à ouverture automatique|Porte coupe-feu à maintenir ouverte|Porte coupe-feu à maintenir fermée|Porte coupe-feu - Ne mettez pas d’obstacle à la fermeture|Aucune des réponses précédentes</v>
      </c>
      <c r="D55" t="str" cm="1">
        <f t="array" ref="D55:I55">_xlfn.TEXTSPLIT(C55,"|")</f>
        <v>Sur une porte coupe-feu que puis-je trouver comme indication :</v>
      </c>
      <c r="E55" t="str">
        <v>Porte coupe-feu à ouverture automatique</v>
      </c>
      <c r="F55" t="str">
        <v>Porte coupe-feu à maintenir ouverte</v>
      </c>
      <c r="G55" t="str">
        <v>Porte coupe-feu à maintenir fermée</v>
      </c>
      <c r="H55" t="str">
        <v>Porte coupe-feu - Ne mettez pas d’obstacle à la fermeture</v>
      </c>
      <c r="I55" t="str">
        <v>Aucune des réponses précédentes</v>
      </c>
    </row>
    <row r="56" spans="1:11" x14ac:dyDescent="0.25">
      <c r="A56" s="14"/>
      <c r="B56" s="7" t="e">
        <f t="shared" si="2"/>
        <v>#VALUE!</v>
      </c>
      <c r="C56" s="7" t="e">
        <f t="shared" si="3"/>
        <v>#VALUE!</v>
      </c>
      <c r="D56" t="e" cm="1">
        <f t="array" ref="D56">_xlfn.TEXTSPLIT(C56,"|")</f>
        <v>#VALUE!</v>
      </c>
    </row>
    <row r="57" spans="1:11" ht="20.25" x14ac:dyDescent="0.25">
      <c r="A57" s="13" t="s">
        <v>513</v>
      </c>
      <c r="B57" s="7" t="e">
        <f t="shared" si="2"/>
        <v>#VALUE!</v>
      </c>
      <c r="C57" s="7" t="e">
        <f t="shared" si="3"/>
        <v>#VALUE!</v>
      </c>
      <c r="D57" t="e" cm="1">
        <f t="array" ref="D57">_xlfn.TEXTSPLIT(C57,"|")</f>
        <v>#VALUE!</v>
      </c>
    </row>
    <row r="58" spans="1:11" x14ac:dyDescent="0.25">
      <c r="A58" s="15" t="s">
        <v>514</v>
      </c>
      <c r="B58" s="7">
        <f t="shared" si="2"/>
        <v>2</v>
      </c>
      <c r="C58" s="7" t="str">
        <f t="shared" si="3"/>
        <v>On trouve des dégagements :|Élémentaires|Accessoires|Supplémentaires|Complémentaires|Normaux|Sédentaires|Aucune des réponses précédentes</v>
      </c>
      <c r="D58" t="str" cm="1">
        <f t="array" ref="D58:K58">_xlfn.TEXTSPLIT(C58,"|")</f>
        <v>On trouve des dégagements :</v>
      </c>
      <c r="E58" t="str">
        <v>Élémentaires</v>
      </c>
      <c r="F58" t="str">
        <v>Accessoires</v>
      </c>
      <c r="G58" t="str">
        <v>Supplémentaires</v>
      </c>
      <c r="H58" t="str">
        <v>Complémentaires</v>
      </c>
      <c r="I58" t="str">
        <v>Normaux</v>
      </c>
      <c r="J58" t="str">
        <v>Sédentaires</v>
      </c>
      <c r="K58" t="str">
        <v>Aucune des réponses précédentes</v>
      </c>
    </row>
    <row r="59" spans="1:11" x14ac:dyDescent="0.25">
      <c r="A59" s="15" t="s">
        <v>515</v>
      </c>
      <c r="B59" s="7">
        <f t="shared" si="2"/>
        <v>2</v>
      </c>
      <c r="C59" s="7" t="str">
        <f t="shared" si="3"/>
        <v>Un escalier encloisonné est un escalier :|Protégé|À l’air libre|Mis à l’abri des fumées|Désenfumé|Monumental|Aucune des réponses précédentes</v>
      </c>
      <c r="D59" t="str" cm="1">
        <f t="array" ref="D59:J59">_xlfn.TEXTSPLIT(C59,"|")</f>
        <v>Un escalier encloisonné est un escalier :</v>
      </c>
      <c r="E59" t="str">
        <v>Protégé</v>
      </c>
      <c r="F59" t="str">
        <v>À l’air libre</v>
      </c>
      <c r="G59" t="str">
        <v>Mis à l’abri des fumées</v>
      </c>
      <c r="H59" t="str">
        <v>Désenfumé</v>
      </c>
      <c r="I59" t="str">
        <v>Monumental</v>
      </c>
      <c r="J59" t="str">
        <v>Aucune des réponses précédentes</v>
      </c>
    </row>
    <row r="60" spans="1:11" x14ac:dyDescent="0.25">
      <c r="A60" s="15" t="s">
        <v>516</v>
      </c>
      <c r="B60" s="7">
        <f t="shared" si="2"/>
        <v>2</v>
      </c>
      <c r="C60" s="7" t="str">
        <f t="shared" si="3"/>
        <v>Quelle est la largeur d’une circulation de deux Unités de Passage (UP) ?|0,6 m|0,9 m|1,20 m|1,40 m|1,80 m|Aucune des réponses précédentes</v>
      </c>
      <c r="D60" t="str" cm="1">
        <f t="array" ref="D60:J60">_xlfn.TEXTSPLIT(C60,"|")</f>
        <v>Quelle est la largeur d’une circulation de deux Unités de Passage (UP) ?</v>
      </c>
      <c r="E60" t="str">
        <v>0,6 m</v>
      </c>
      <c r="F60" t="str">
        <v>0,9 m</v>
      </c>
      <c r="G60" t="str">
        <v>1,20 m</v>
      </c>
      <c r="H60" t="str">
        <v>1,40 m</v>
      </c>
      <c r="I60" t="str">
        <v>1,80 m</v>
      </c>
      <c r="J60" t="str">
        <v>Aucune des réponses précédentes</v>
      </c>
    </row>
    <row r="61" spans="1:11" x14ac:dyDescent="0.25">
      <c r="A61" s="15" t="s">
        <v>517</v>
      </c>
      <c r="B61" s="7">
        <f t="shared" si="2"/>
        <v>2</v>
      </c>
      <c r="C61" s="7" t="str">
        <f t="shared" si="3"/>
        <v>Quelle est la largeur type de l’Unité de Passage (UP) ?|0,6 m|0,9 m|1,20 m|1,40 m|1,80 m|Aucune des réponses précédentes</v>
      </c>
      <c r="D61" t="str" cm="1">
        <f t="array" ref="D61:J61">_xlfn.TEXTSPLIT(C61,"|")</f>
        <v>Quelle est la largeur type de l’Unité de Passage (UP) ?</v>
      </c>
      <c r="E61" t="str">
        <v>0,6 m</v>
      </c>
      <c r="F61" t="str">
        <v>0,9 m</v>
      </c>
      <c r="G61" t="str">
        <v>1,20 m</v>
      </c>
      <c r="H61" t="str">
        <v>1,40 m</v>
      </c>
      <c r="I61" t="str">
        <v>1,80 m</v>
      </c>
      <c r="J61" t="str">
        <v>Aucune des réponses précédentes</v>
      </c>
    </row>
    <row r="62" spans="1:11" x14ac:dyDescent="0.25">
      <c r="A62" s="15" t="s">
        <v>518</v>
      </c>
      <c r="B62" s="7">
        <f t="shared" si="2"/>
        <v>2</v>
      </c>
      <c r="C62" s="7" t="str">
        <f t="shared" si="3"/>
        <v>Quelle est la largeur d’une circulation d’une Unité de Passage (UP) ?|0,6 m|0,9 m|1,20 m|1,40 m|1,80 m|Aucune des réponses précédentes</v>
      </c>
      <c r="D62" t="str" cm="1">
        <f t="array" ref="D62:J62">_xlfn.TEXTSPLIT(C62,"|")</f>
        <v>Quelle est la largeur d’une circulation d’une Unité de Passage (UP) ?</v>
      </c>
      <c r="E62" t="str">
        <v>0,6 m</v>
      </c>
      <c r="F62" t="str">
        <v>0,9 m</v>
      </c>
      <c r="G62" t="str">
        <v>1,20 m</v>
      </c>
      <c r="H62" t="str">
        <v>1,40 m</v>
      </c>
      <c r="I62" t="str">
        <v>1,80 m</v>
      </c>
      <c r="J62" t="str">
        <v>Aucune des réponses précédentes</v>
      </c>
    </row>
    <row r="63" spans="1:11" x14ac:dyDescent="0.25">
      <c r="A63" s="15" t="s">
        <v>519</v>
      </c>
      <c r="B63" s="7">
        <f t="shared" si="2"/>
        <v>2</v>
      </c>
      <c r="C63" s="7" t="str">
        <f t="shared" si="3"/>
        <v>Un dégagement peut être :|Une porte|Un escalier|Une sortie|Une circulation horizontale|Aucune des réponses précédentes</v>
      </c>
      <c r="D63" t="str" cm="1">
        <f t="array" ref="D63:I63">_xlfn.TEXTSPLIT(C63,"|")</f>
        <v>Un dégagement peut être :</v>
      </c>
      <c r="E63" t="str">
        <v>Une porte</v>
      </c>
      <c r="F63" t="str">
        <v>Un escalier</v>
      </c>
      <c r="G63" t="str">
        <v>Une sortie</v>
      </c>
      <c r="H63" t="str">
        <v>Une circulation horizontale</v>
      </c>
      <c r="I63" t="str">
        <v>Aucune des réponses précédentes</v>
      </c>
    </row>
    <row r="64" spans="1:11" ht="20.25" x14ac:dyDescent="0.25">
      <c r="A64" s="13" t="s">
        <v>520</v>
      </c>
      <c r="B64" s="7" t="e">
        <f t="shared" si="2"/>
        <v>#VALUE!</v>
      </c>
      <c r="C64" s="7" t="e">
        <f t="shared" si="3"/>
        <v>#VALUE!</v>
      </c>
      <c r="D64" t="e" cm="1">
        <f t="array" ref="D64">_xlfn.TEXTSPLIT(C64,"|")</f>
        <v>#VALUE!</v>
      </c>
    </row>
    <row r="65" spans="1:11" x14ac:dyDescent="0.25">
      <c r="A65" s="15" t="s">
        <v>521</v>
      </c>
      <c r="B65" s="7">
        <f t="shared" si="2"/>
        <v>2</v>
      </c>
      <c r="C65" s="7" t="str">
        <f t="shared" si="3"/>
        <v>Le désenfumage a pour but de :|Faciliter l’évacuation du public|Faciliter l’interdiction de fumer|Faciliter l’intervention des secours|Refroidir les locaux|Aucune des réponses précédentes</v>
      </c>
      <c r="D65" t="str" cm="1">
        <f t="array" ref="D65:I65">_xlfn.TEXTSPLIT(C65,"|")</f>
        <v>Le désenfumage a pour but de :</v>
      </c>
      <c r="E65" t="str">
        <v>Faciliter l’évacuation du public</v>
      </c>
      <c r="F65" t="str">
        <v>Faciliter l’interdiction de fumer</v>
      </c>
      <c r="G65" t="str">
        <v>Faciliter l’intervention des secours</v>
      </c>
      <c r="H65" t="str">
        <v>Refroidir les locaux</v>
      </c>
      <c r="I65" t="str">
        <v>Aucune des réponses précédentes</v>
      </c>
    </row>
    <row r="66" spans="1:11" x14ac:dyDescent="0.25">
      <c r="A66" s="15" t="s">
        <v>522</v>
      </c>
      <c r="B66" s="7">
        <f t="shared" si="2"/>
        <v>2</v>
      </c>
      <c r="C66" s="7" t="str">
        <f t="shared" si="3"/>
        <v>Un clapet coupe-feu est :|Un volume fermé servant au passage d’un fluide déterminé|Un volume fermé généralement accessible et renfermant un ou plusieurs conduits|Un dispositif actionné de sécurité destiné au compartimentage|Un dispositif d’évacuation des fumées situé en toiture|Aucune des réponses précédentes</v>
      </c>
      <c r="D66" t="str" cm="1">
        <f t="array" ref="D66:I66">_xlfn.TEXTSPLIT(C66,"|")</f>
        <v>Un clapet coupe-feu est :</v>
      </c>
      <c r="E66" t="str">
        <v>Un volume fermé servant au passage d’un fluide déterminé</v>
      </c>
      <c r="F66" t="str">
        <v>Un volume fermé généralement accessible et renfermant un ou plusieurs conduits</v>
      </c>
      <c r="G66" t="str">
        <v>Un dispositif actionné de sécurité destiné au compartimentage</v>
      </c>
      <c r="H66" t="str">
        <v>Un dispositif d’évacuation des fumées situé en toiture</v>
      </c>
      <c r="I66" t="str">
        <v>Aucune des réponses précédentes</v>
      </c>
    </row>
    <row r="67" spans="1:11" x14ac:dyDescent="0.25">
      <c r="A67" s="15" t="s">
        <v>523</v>
      </c>
      <c r="B67" s="7">
        <f t="shared" si="2"/>
        <v>2</v>
      </c>
      <c r="C67" s="7" t="str">
        <f t="shared" si="3"/>
        <v>Un conduit est :|Un volume fermé servant au passage d’un fluide déterminé|Un volume fermé généralement accessible et renfermant un ou plusieurs conduits|Un dispositif d’évacuation des fumées situé en façade|Un dispositif d’accès mobile fermé en position normale|Aucune des réponses précédentes</v>
      </c>
      <c r="D67" t="str" cm="1">
        <f t="array" ref="D67:I67">_xlfn.TEXTSPLIT(C67,"|")</f>
        <v>Un conduit est :</v>
      </c>
      <c r="E67" t="str">
        <v>Un volume fermé servant au passage d’un fluide déterminé</v>
      </c>
      <c r="F67" t="str">
        <v>Un volume fermé généralement accessible et renfermant un ou plusieurs conduits</v>
      </c>
      <c r="G67" t="str">
        <v>Un dispositif d’évacuation des fumées situé en façade</v>
      </c>
      <c r="H67" t="str">
        <v>Un dispositif d’accès mobile fermé en position normale</v>
      </c>
      <c r="I67" t="str">
        <v>Aucune des réponses précédentes</v>
      </c>
    </row>
    <row r="68" spans="1:11" x14ac:dyDescent="0.25">
      <c r="A68" s="15" t="s">
        <v>524</v>
      </c>
      <c r="B68" s="7">
        <f t="shared" si="2"/>
        <v>2</v>
      </c>
      <c r="C68" s="7" t="str">
        <f t="shared" si="3"/>
        <v>Une gaine est :|Un volume fermé servant au passage d’un fluide déterminé|Un volume fermé généralement accessible et renfermant un ou plusieurs conduits|Un dispositif d’évacuation des fumées situé en façade|Un dispositif d’accès mobile fermé en position normale|Aucune des réponses précédentes</v>
      </c>
      <c r="D68" t="str" cm="1">
        <f t="array" ref="D68:I68">_xlfn.TEXTSPLIT(C68,"|")</f>
        <v>Une gaine est :</v>
      </c>
      <c r="E68" t="str">
        <v>Un volume fermé servant au passage d’un fluide déterminé</v>
      </c>
      <c r="F68" t="str">
        <v>Un volume fermé généralement accessible et renfermant un ou plusieurs conduits</v>
      </c>
      <c r="G68" t="str">
        <v>Un dispositif d’évacuation des fumées situé en façade</v>
      </c>
      <c r="H68" t="str">
        <v>Un dispositif d’accès mobile fermé en position normale</v>
      </c>
      <c r="I68" t="str">
        <v>Aucune des réponses précédentes</v>
      </c>
    </row>
    <row r="69" spans="1:11" x14ac:dyDescent="0.25">
      <c r="A69" s="15" t="s">
        <v>525</v>
      </c>
      <c r="B69" s="7">
        <f t="shared" si="2"/>
        <v>2</v>
      </c>
      <c r="C69" s="7" t="str">
        <f t="shared" si="3"/>
        <v>En E.R.P., qui peut actionner l’ouverture de l’exutoire de désenfumage d’un escalier protégé ?|Le chef d’établissement|Le SSIAP 1|Le SSIAP 2|Les services de secours|Un témoin|Aucune des réponses précédentes</v>
      </c>
      <c r="D69" t="str" cm="1">
        <f t="array" ref="D69:J69">_xlfn.TEXTSPLIT(C69,"|")</f>
        <v>En E.R.P., qui peut actionner l’ouverture de l’exutoire de désenfumage d’un escalier protégé ?</v>
      </c>
      <c r="E69" t="str">
        <v>Le chef d’établissement</v>
      </c>
      <c r="F69" t="str">
        <v>Le SSIAP 1</v>
      </c>
      <c r="G69" t="str">
        <v>Le SSIAP 2</v>
      </c>
      <c r="H69" t="str">
        <v>Les services de secours</v>
      </c>
      <c r="I69" t="str">
        <v>Un témoin</v>
      </c>
      <c r="J69" t="str">
        <v>Aucune des réponses précédentes</v>
      </c>
    </row>
    <row r="70" spans="1:11" x14ac:dyDescent="0.25">
      <c r="A70" s="15" t="s">
        <v>526</v>
      </c>
      <c r="B70" s="7">
        <f t="shared" si="2"/>
        <v>2</v>
      </c>
      <c r="C70" s="7" t="str">
        <f t="shared" si="3"/>
        <v>Les méthodes de désenfumage d’un ERP peuvent-être :|Naturel/naturel|Mécanique/dynamique|Naturel/mécanique|Naturel/statique|Mécanique/mécanique|Aucune des réponses précédentes</v>
      </c>
      <c r="D70" t="str" cm="1">
        <f t="array" ref="D70:J70">_xlfn.TEXTSPLIT(C70,"|")</f>
        <v>Les méthodes de désenfumage d’un ERP peuvent-être :</v>
      </c>
      <c r="E70" t="str">
        <v>Naturel/naturel</v>
      </c>
      <c r="F70" t="str">
        <v>Mécanique/dynamique</v>
      </c>
      <c r="G70" t="str">
        <v>Naturel/mécanique</v>
      </c>
      <c r="H70" t="str">
        <v>Naturel/statique</v>
      </c>
      <c r="I70" t="str">
        <v>Mécanique/mécanique</v>
      </c>
      <c r="J70" t="str">
        <v>Aucune des réponses précédentes</v>
      </c>
    </row>
    <row r="71" spans="1:11" x14ac:dyDescent="0.25">
      <c r="A71" s="15" t="s">
        <v>527</v>
      </c>
      <c r="B71" s="7">
        <f t="shared" si="2"/>
        <v>2</v>
      </c>
      <c r="C71" s="7" t="str">
        <f t="shared" si="3"/>
        <v>En ERP, où peut-on trouver le dispositif de commande manuelle du désenfumage naturel d’un escalier encloisonné ?|Au P.C. Sécurité|En bas de l’escalier|Dans les circulations horizontales communes|À tous les niveaux|Aucune des réponses précédentes</v>
      </c>
      <c r="D71" t="str" cm="1">
        <f t="array" ref="D71:I71">_xlfn.TEXTSPLIT(C71,"|")</f>
        <v>En ERP, où peut-on trouver le dispositif de commande manuelle du désenfumage naturel d’un escalier encloisonné ?</v>
      </c>
      <c r="E71" t="str">
        <v>Au P.C. Sécurité</v>
      </c>
      <c r="F71" t="str">
        <v>En bas de l’escalier</v>
      </c>
      <c r="G71" t="str">
        <v>Dans les circulations horizontales communes</v>
      </c>
      <c r="H71" t="str">
        <v>À tous les niveaux</v>
      </c>
      <c r="I71" t="str">
        <v>Aucune des réponses précédentes</v>
      </c>
    </row>
    <row r="72" spans="1:11" ht="20.25" x14ac:dyDescent="0.25">
      <c r="A72" s="13" t="s">
        <v>528</v>
      </c>
      <c r="B72" s="7" t="e">
        <f t="shared" si="2"/>
        <v>#VALUE!</v>
      </c>
      <c r="C72" s="7" t="e">
        <f t="shared" si="3"/>
        <v>#VALUE!</v>
      </c>
      <c r="D72" t="e" cm="1">
        <f t="array" ref="D72">_xlfn.TEXTSPLIT(C72,"|")</f>
        <v>#VALUE!</v>
      </c>
    </row>
    <row r="73" spans="1:11" x14ac:dyDescent="0.25">
      <c r="A73" s="15" t="s">
        <v>529</v>
      </c>
      <c r="B73" s="7">
        <f t="shared" si="2"/>
        <v>2</v>
      </c>
      <c r="C73" s="7" t="str">
        <f t="shared" si="3"/>
        <v>L’éclairage de sécurité comprend l’éclairage :|D’évacuation|Normal|De remplacement|Anti-panique|D’incendie|Public|Aucune des réponses précédentes</v>
      </c>
      <c r="D73" t="str" cm="1">
        <f t="array" ref="D73:K73">_xlfn.TEXTSPLIT(C73,"|")</f>
        <v>L’éclairage de sécurité comprend l’éclairage :</v>
      </c>
      <c r="E73" t="str">
        <v>D’évacuation</v>
      </c>
      <c r="F73" t="str">
        <v>Normal</v>
      </c>
      <c r="G73" t="str">
        <v>De remplacement</v>
      </c>
      <c r="H73" t="str">
        <v>Anti-panique</v>
      </c>
      <c r="I73" t="str">
        <v>D’incendie</v>
      </c>
      <c r="J73" t="str">
        <v>Public</v>
      </c>
      <c r="K73" t="str">
        <v>Aucune des réponses précédentes</v>
      </c>
    </row>
    <row r="74" spans="1:11" x14ac:dyDescent="0.25">
      <c r="A74" s="15" t="s">
        <v>530</v>
      </c>
      <c r="B74" s="7">
        <f t="shared" si="2"/>
        <v>2</v>
      </c>
      <c r="C74" s="7" t="str">
        <f t="shared" si="3"/>
        <v>Dans un ERP, quelle doit être la durée minimum de fonctionnement d’un B.A.E.S. ?|30 minutes|1 heure|2 heures|En fonction de la catégorie de l’E.R.P.|En fonction du type d’E.R.P.|Aucune des réponses précédentes</v>
      </c>
      <c r="D74" t="str" cm="1">
        <f t="array" ref="D74:J74">_xlfn.TEXTSPLIT(C74,"|")</f>
        <v>Dans un ERP, quelle doit être la durée minimum de fonctionnement d’un B.A.E.S. ?</v>
      </c>
      <c r="E74" t="str">
        <v>30 minutes</v>
      </c>
      <c r="F74" t="str">
        <v>1 heure</v>
      </c>
      <c r="G74" t="str">
        <v>2 heures</v>
      </c>
      <c r="H74" t="str">
        <v>En fonction de la catégorie de l’E.R.P.</v>
      </c>
      <c r="I74" t="str">
        <v>En fonction du type d’E.R.P.</v>
      </c>
      <c r="J74" t="str">
        <v>Aucune des réponses précédentes</v>
      </c>
    </row>
    <row r="75" spans="1:11" x14ac:dyDescent="0.25">
      <c r="A75" s="15" t="s">
        <v>531</v>
      </c>
      <c r="B75" s="7">
        <f t="shared" si="2"/>
        <v>2</v>
      </c>
      <c r="C75" s="7" t="str">
        <f t="shared" si="3"/>
        <v>Que signifie le terme "B.A.E.S." ?|Un bloc autonome d’éclairage de sécurité|Un bloc d’alarme et de secours|Un boîtier autonome d’éclairage de secours|Une borne d’appel entre les services|Un boîtier d’alimentation électrique de sécurité|Aucune des réponses précédentes</v>
      </c>
      <c r="D75" t="str" cm="1">
        <f t="array" ref="D75:J75">_xlfn.TEXTSPLIT(C75,"|")</f>
        <v>Que signifie le terme "B.A.E.S." ?</v>
      </c>
      <c r="E75" t="str">
        <v>Un bloc autonome d’éclairage de sécurité</v>
      </c>
      <c r="F75" t="str">
        <v>Un bloc d’alarme et de secours</v>
      </c>
      <c r="G75" t="str">
        <v>Un boîtier autonome d’éclairage de secours</v>
      </c>
      <c r="H75" t="str">
        <v>Une borne d’appel entre les services</v>
      </c>
      <c r="I75" t="str">
        <v>Un boîtier d’alimentation électrique de sécurité</v>
      </c>
      <c r="J75" t="str">
        <v>Aucune des réponses précédentes</v>
      </c>
    </row>
    <row r="76" spans="1:11" x14ac:dyDescent="0.25">
      <c r="A76" s="15" t="s">
        <v>532</v>
      </c>
      <c r="B76" s="7">
        <f t="shared" si="2"/>
        <v>2</v>
      </c>
      <c r="C76" s="7" t="str">
        <f t="shared" si="3"/>
        <v>Que comprend l’éclairage de sécurité ?|L’éclairage de remplacement et l’éclairage normal|L’éclairage de sécurité et l’éclairage d’ambiance|L’éclairage d’évacuation et l’éclairage de remplacement|L’éclairage d’ambiance et d’anti-panique|L’éclairage d’évacuation et l’éclairage d’ambiance ou d’anti-panique|Aucune des réponses précédentes</v>
      </c>
      <c r="D76" t="str" cm="1">
        <f t="array" ref="D76:J76">_xlfn.TEXTSPLIT(C76,"|")</f>
        <v>Que comprend l’éclairage de sécurité ?</v>
      </c>
      <c r="E76" t="str">
        <v>L’éclairage de remplacement et l’éclairage normal</v>
      </c>
      <c r="F76" t="str">
        <v>L’éclairage de sécurité et l’éclairage d’ambiance</v>
      </c>
      <c r="G76" t="str">
        <v>L’éclairage d’évacuation et l’éclairage de remplacement</v>
      </c>
      <c r="H76" t="str">
        <v>L’éclairage d’ambiance et d’anti-panique</v>
      </c>
      <c r="I76" t="str">
        <v>L’éclairage d’évacuation et l’éclairage d’ambiance ou d’anti-panique</v>
      </c>
      <c r="J76" t="str">
        <v>Aucune des réponses précédentes</v>
      </c>
    </row>
    <row r="77" spans="1:11" x14ac:dyDescent="0.25">
      <c r="A77" s="15" t="s">
        <v>533</v>
      </c>
      <c r="B77" s="7">
        <f t="shared" si="2"/>
        <v>2</v>
      </c>
      <c r="C77" s="7" t="str">
        <f t="shared" si="3"/>
        <v>Pour un B.A.E.S équipé du système SATI, un voyant jaune signifie :|Bloc en bon état|Défaut|En cours de charge|Défaut de position d’attente|Aucune des réponses précédentes</v>
      </c>
      <c r="D77" t="str" cm="1">
        <f t="array" ref="D77:I77">_xlfn.TEXTSPLIT(C77,"|")</f>
        <v>Pour un B.A.E.S équipé du système SATI, un voyant jaune signifie :</v>
      </c>
      <c r="E77" t="str">
        <v>Bloc en bon état</v>
      </c>
      <c r="F77" t="str">
        <v>Défaut</v>
      </c>
      <c r="G77" t="str">
        <v>En cours de charge</v>
      </c>
      <c r="H77" t="str">
        <v>Défaut de position d’attente</v>
      </c>
      <c r="I77" t="str">
        <v>Aucune des réponses précédentes</v>
      </c>
    </row>
    <row r="78" spans="1:11" ht="25.5" x14ac:dyDescent="0.25">
      <c r="A78" s="12" t="s">
        <v>534</v>
      </c>
      <c r="B78" s="7" t="e">
        <f t="shared" si="2"/>
        <v>#VALUE!</v>
      </c>
      <c r="C78" s="7" t="e">
        <f t="shared" si="3"/>
        <v>#VALUE!</v>
      </c>
      <c r="D78" t="e" cm="1">
        <f t="array" ref="D78">_xlfn.TEXTSPLIT(C78,"|")</f>
        <v>#VALUE!</v>
      </c>
    </row>
    <row r="79" spans="1:11" x14ac:dyDescent="0.25">
      <c r="A79" s="15" t="s">
        <v>535</v>
      </c>
      <c r="B79" s="7">
        <f t="shared" si="2"/>
        <v>2</v>
      </c>
      <c r="C79" s="7" t="str">
        <f t="shared" si="3"/>
        <v>En règle générale, dans un IGH, un compartiment doit comporter au moins :|1 escalier protégé|2 escaliers protégés|3 escaliers protégés|Le nombre d’escalier dépend de la commission de sécurité compétente|Autant d’escaliers que d’ascenseurs|Aucune des réponses précédentes</v>
      </c>
      <c r="D79" t="str" cm="1">
        <f t="array" ref="D79:J79">_xlfn.TEXTSPLIT(C79,"|")</f>
        <v>En règle générale, dans un IGH, un compartiment doit comporter au moins :</v>
      </c>
      <c r="E79" t="str">
        <v>1 escalier protégé</v>
      </c>
      <c r="F79" t="str">
        <v>2 escaliers protégés</v>
      </c>
      <c r="G79" t="str">
        <v>3 escaliers protégés</v>
      </c>
      <c r="H79" t="str">
        <v>Le nombre d’escalier dépend de la commission de sécurité compétente</v>
      </c>
      <c r="I79" t="str">
        <v>Autant d’escaliers que d’ascenseurs</v>
      </c>
      <c r="J79" t="str">
        <v>Aucune des réponses précédentes</v>
      </c>
    </row>
    <row r="80" spans="1:11" x14ac:dyDescent="0.25">
      <c r="A80" s="15" t="s">
        <v>536</v>
      </c>
      <c r="B80" s="7">
        <f t="shared" si="2"/>
        <v>2</v>
      </c>
      <c r="C80" s="7" t="str">
        <f t="shared" si="3"/>
        <v>Quelle doit être, en I.G.H, l’autonomie d’un groupe moteur thermique générateur ?|6 heures|12 heures|24 heures|36 heures|Pendant toute la durée de la coupure|Aucune des réponses précédentes</v>
      </c>
      <c r="D80" t="str" cm="1">
        <f t="array" ref="D80:J80">_xlfn.TEXTSPLIT(C80,"|")</f>
        <v>Quelle doit être, en I.G.H, l’autonomie d’un groupe moteur thermique générateur ?</v>
      </c>
      <c r="E80" t="str">
        <v>6 heures</v>
      </c>
      <c r="F80" t="str">
        <v>12 heures</v>
      </c>
      <c r="G80" t="str">
        <v>24 heures</v>
      </c>
      <c r="H80" t="str">
        <v>36 heures</v>
      </c>
      <c r="I80" t="str">
        <v>Pendant toute la durée de la coupure</v>
      </c>
      <c r="J80" t="str">
        <v>Aucune des réponses précédentes</v>
      </c>
    </row>
    <row r="81" spans="1:11" x14ac:dyDescent="0.25">
      <c r="A81" s="15" t="s">
        <v>537</v>
      </c>
      <c r="B81" s="7">
        <f t="shared" si="2"/>
        <v>2</v>
      </c>
      <c r="C81" s="7" t="str">
        <f t="shared" si="3"/>
        <v>En IGH, chaque compartiment doit avoir un degré d’isolement :|Pare-flammes 2h00 ou RE 120|Coupe-feu 1h00 ou REI 60|Pare-flammes 1h00 ou RE 60|Coupe-feu 2h00 ou REI 120|Aucune des réponses précédentes</v>
      </c>
      <c r="D81" t="str" cm="1">
        <f t="array" ref="D81:I81">_xlfn.TEXTSPLIT(C81,"|")</f>
        <v>En IGH, chaque compartiment doit avoir un degré d’isolement :</v>
      </c>
      <c r="E81" t="str">
        <v>Pare-flammes 2h00 ou RE 120</v>
      </c>
      <c r="F81" t="str">
        <v>Coupe-feu 1h00 ou REI 60</v>
      </c>
      <c r="G81" t="str">
        <v>Pare-flammes 1h00 ou RE 60</v>
      </c>
      <c r="H81" t="str">
        <v>Coupe-feu 2h00 ou REI 120</v>
      </c>
      <c r="I81" t="str">
        <v>Aucune des réponses précédentes</v>
      </c>
    </row>
    <row r="82" spans="1:11" x14ac:dyDescent="0.25">
      <c r="A82" s="15" t="s">
        <v>538</v>
      </c>
      <c r="B82" s="7">
        <f t="shared" si="2"/>
        <v>2</v>
      </c>
      <c r="C82" s="7" t="str">
        <f t="shared" si="3"/>
        <v>Un compartiment en IGH doit respecter les caractéristiques suivantes :|Longueur 75 m maxi|Longueur 60 m maxi|Surface 2500 m² maxi|Surface 2000 m² maxi|Aucune des réponses précédentes</v>
      </c>
      <c r="D82" t="str" cm="1">
        <f t="array" ref="D82:I82">_xlfn.TEXTSPLIT(C82,"|")</f>
        <v>Un compartiment en IGH doit respecter les caractéristiques suivantes :</v>
      </c>
      <c r="E82" t="str">
        <v>Longueur 75 m maxi</v>
      </c>
      <c r="F82" t="str">
        <v>Longueur 60 m maxi</v>
      </c>
      <c r="G82" t="str">
        <v>Surface 2500 m² maxi</v>
      </c>
      <c r="H82" t="str">
        <v>Surface 2000 m² maxi</v>
      </c>
      <c r="I82" t="str">
        <v>Aucune des réponses précédentes</v>
      </c>
    </row>
    <row r="83" spans="1:11" x14ac:dyDescent="0.25">
      <c r="A83" s="15" t="s">
        <v>539</v>
      </c>
      <c r="B83" s="7">
        <f t="shared" si="2"/>
        <v>2</v>
      </c>
      <c r="C83" s="7" t="str">
        <f t="shared" si="3"/>
        <v>En IGH, des fumées envahissent tout un compartiment. Dans un premier temps, vous devez faire évacuer :|L’ensemble de l’IGH|Uniquement le compartiment sinistré|Le compartiment sinistré et l’étage supérieur|Le compartiment sinistré, le niveau supérieur et les 2 niveaux inférieurs|Aucune des réponses précédentes</v>
      </c>
      <c r="D83" t="str" cm="1">
        <f t="array" ref="D83:I83">_xlfn.TEXTSPLIT(C83,"|")</f>
        <v>En IGH, des fumées envahissent tout un compartiment. Dans un premier temps, vous devez faire évacuer :</v>
      </c>
      <c r="E83" t="str">
        <v>L’ensemble de l’IGH</v>
      </c>
      <c r="F83" t="str">
        <v>Uniquement le compartiment sinistré</v>
      </c>
      <c r="G83" t="str">
        <v>Le compartiment sinistré et l’étage supérieur</v>
      </c>
      <c r="H83" t="str">
        <v>Le compartiment sinistré, le niveau supérieur et les 2 niveaux inférieurs</v>
      </c>
      <c r="I83" t="str">
        <v>Aucune des réponses précédentes</v>
      </c>
    </row>
    <row r="84" spans="1:11" x14ac:dyDescent="0.25">
      <c r="A84" s="15" t="s">
        <v>540</v>
      </c>
      <c r="B84" s="7">
        <f t="shared" si="2"/>
        <v>2</v>
      </c>
      <c r="C84" s="7" t="str">
        <f t="shared" si="3"/>
        <v>Un feu se déclare dans une circulation horizontale commune d’un IGH, quelles sont les mises en sécurité automatiques qui se déclenchent ?|Le démarrage du groupe électrogène|Le désenfumage|Le rappel des ascenseurs prioritaires|Le compartimentage|Le non arrêt des ascenseurs|Aucune des réponses précédentes</v>
      </c>
      <c r="D84" t="str" cm="1">
        <f t="array" ref="D84:J84">_xlfn.TEXTSPLIT(C84,"|")</f>
        <v>Un feu se déclare dans une circulation horizontale commune d’un IGH, quelles sont les mises en sécurité automatiques qui se déclenchent ?</v>
      </c>
      <c r="E84" t="str">
        <v>Le démarrage du groupe électrogène</v>
      </c>
      <c r="F84" t="str">
        <v>Le désenfumage</v>
      </c>
      <c r="G84" t="str">
        <v>Le rappel des ascenseurs prioritaires</v>
      </c>
      <c r="H84" t="str">
        <v>Le compartimentage</v>
      </c>
      <c r="I84" t="str">
        <v>Le non arrêt des ascenseurs</v>
      </c>
      <c r="J84" t="str">
        <v>Aucune des réponses précédentes</v>
      </c>
    </row>
    <row r="85" spans="1:11" x14ac:dyDescent="0.25">
      <c r="A85" s="15" t="s">
        <v>541</v>
      </c>
      <c r="B85" s="7">
        <f t="shared" si="2"/>
        <v>2</v>
      </c>
      <c r="C85" s="7" t="str">
        <f t="shared" si="3"/>
        <v>Quelle est la distance du volume de protection autour d’un IGH ?|5 mètres|8 mètres|10 mètres|Cela dépend de la hauteur de l’immeuble|Aucune des réponses précédentes</v>
      </c>
      <c r="D85" t="str" cm="1">
        <f t="array" ref="D85:I85">_xlfn.TEXTSPLIT(C85,"|")</f>
        <v>Quelle est la distance du volume de protection autour d’un IGH ?</v>
      </c>
      <c r="E85" t="str">
        <v>5 mètres</v>
      </c>
      <c r="F85" t="str">
        <v>8 mètres</v>
      </c>
      <c r="G85" t="str">
        <v>10 mètres</v>
      </c>
      <c r="H85" t="str">
        <v>Cela dépend de la hauteur de l’immeuble</v>
      </c>
      <c r="I85" t="str">
        <v>Aucune des réponses précédentes</v>
      </c>
    </row>
    <row r="86" spans="1:11" x14ac:dyDescent="0.25">
      <c r="A86" s="15" t="s">
        <v>542</v>
      </c>
      <c r="B86" s="7">
        <f t="shared" si="2"/>
        <v>2</v>
      </c>
      <c r="C86" s="7" t="str">
        <f t="shared" si="3"/>
        <v>En IGH quelle doit-être la pression minimale d’un robinet d’incendie armé (RIA) ?|2,5 bars au RIA le plus défavorisé|2,5 bars au RIA le plus favorisé|4 bars au RIA le plus favorisé|4 bars au RIA le plus défavorisé|Aucune des réponses précédentes</v>
      </c>
      <c r="D86" t="str" cm="1">
        <f t="array" ref="D86:I86">_xlfn.TEXTSPLIT(C86,"|")</f>
        <v>En IGH quelle doit-être la pression minimale d’un robinet d’incendie armé (RIA) ?</v>
      </c>
      <c r="E86" t="str">
        <v>2,5 bars au RIA le plus défavorisé</v>
      </c>
      <c r="F86" t="str">
        <v>2,5 bars au RIA le plus favorisé</v>
      </c>
      <c r="G86" t="str">
        <v>4 bars au RIA le plus favorisé</v>
      </c>
      <c r="H86" t="str">
        <v>4 bars au RIA le plus défavorisé</v>
      </c>
      <c r="I86" t="str">
        <v>Aucune des réponses précédentes</v>
      </c>
    </row>
    <row r="87" spans="1:11" x14ac:dyDescent="0.25">
      <c r="A87" s="15" t="s">
        <v>543</v>
      </c>
      <c r="B87" s="7">
        <f t="shared" si="2"/>
        <v>2</v>
      </c>
      <c r="C87" s="7" t="str">
        <f t="shared" si="3"/>
        <v>Combien d’appareils émetteurs-récepteurs radio, le service de sécurité incendie d’un IGH doit-il pouvoir mettre à disposition des pompiers ?|Deux|Quatre|Six|Aucun|Aucune des réponses précédentes</v>
      </c>
      <c r="D87" t="str" cm="1">
        <f t="array" ref="D87:I87">_xlfn.TEXTSPLIT(C87,"|")</f>
        <v>Combien d’appareils émetteurs-récepteurs radio, le service de sécurité incendie d’un IGH doit-il pouvoir mettre à disposition des pompiers ?</v>
      </c>
      <c r="E87" t="str">
        <v>Deux</v>
      </c>
      <c r="F87" t="str">
        <v>Quatre</v>
      </c>
      <c r="G87" t="str">
        <v>Six</v>
      </c>
      <c r="H87" t="str">
        <v>Aucun</v>
      </c>
      <c r="I87" t="str">
        <v>Aucune des réponses précédentes</v>
      </c>
    </row>
    <row r="88" spans="1:11" x14ac:dyDescent="0.25">
      <c r="A88" s="15" t="s">
        <v>544</v>
      </c>
      <c r="B88" s="7">
        <f t="shared" si="2"/>
        <v>3</v>
      </c>
      <c r="C88" s="7" t="str">
        <f t="shared" si="3"/>
        <v>Quelle inscription peut-on lire sur les portes des dispositifs d’intercommunication desservant les escaliers des IGH ?|Porte coupe-feu à fermeture automatique|Porte coupe-feu à maintenir ouverte|Porte coupe-feu à maintenir fermée|Porte coupe-feu|Aucune des réponses précédentes</v>
      </c>
      <c r="D88" t="str" cm="1">
        <f t="array" ref="D88:I88">_xlfn.TEXTSPLIT(C88,"|")</f>
        <v>Quelle inscription peut-on lire sur les portes des dispositifs d’intercommunication desservant les escaliers des IGH ?</v>
      </c>
      <c r="E88" t="str">
        <v>Porte coupe-feu à fermeture automatique</v>
      </c>
      <c r="F88" t="str">
        <v>Porte coupe-feu à maintenir ouverte</v>
      </c>
      <c r="G88" t="str">
        <v>Porte coupe-feu à maintenir fermée</v>
      </c>
      <c r="H88" t="str">
        <v>Porte coupe-feu</v>
      </c>
      <c r="I88" t="str">
        <v>Aucune des réponses précédentes</v>
      </c>
    </row>
    <row r="89" spans="1:11" x14ac:dyDescent="0.25">
      <c r="A89" s="15" t="s">
        <v>545</v>
      </c>
      <c r="B89" s="7">
        <f t="shared" si="2"/>
        <v>3</v>
      </c>
      <c r="C89" s="7" t="str">
        <f t="shared" si="3"/>
        <v>Quel est le moyen d’alerte externe en G.H.U. ?|Un téléphone portable|Un téléphone urbain|Une ligne directe|Un poste portatif|Aucune des réponses précédentes</v>
      </c>
      <c r="D89" t="str" cm="1">
        <f t="array" ref="D89:I89">_xlfn.TEXTSPLIT(C89,"|")</f>
        <v>Quel est le moyen d’alerte externe en G.H.U. ?</v>
      </c>
      <c r="E89" t="str">
        <v>Un téléphone portable</v>
      </c>
      <c r="F89" t="str">
        <v>Un téléphone urbain</v>
      </c>
      <c r="G89" t="str">
        <v>Une ligne directe</v>
      </c>
      <c r="H89" t="str">
        <v>Un poste portatif</v>
      </c>
      <c r="I89" t="str">
        <v>Aucune des réponses précédentes</v>
      </c>
    </row>
    <row r="90" spans="1:11" x14ac:dyDescent="0.25">
      <c r="A90" s="15" t="s">
        <v>546</v>
      </c>
      <c r="B90" s="7">
        <f t="shared" si="2"/>
        <v>3</v>
      </c>
      <c r="C90" s="7" t="str">
        <f t="shared" si="3"/>
        <v>En I.G.H, où trouve-t-on le dispositif de commande de désenfumage de secours des escaliers ?|Près des moteurs de désenfumage|Dans les circulations horizontales communes|Au P.C.S.|Il n’y en a pas|Aucune des réponses précédentes</v>
      </c>
      <c r="D90" t="str" cm="1">
        <f t="array" ref="D90:I90">_xlfn.TEXTSPLIT(C90,"|")</f>
        <v>En I.G.H, où trouve-t-on le dispositif de commande de désenfumage de secours des escaliers ?</v>
      </c>
      <c r="E90" t="str">
        <v>Près des moteurs de désenfumage</v>
      </c>
      <c r="F90" t="str">
        <v>Dans les circulations horizontales communes</v>
      </c>
      <c r="G90" t="str">
        <v>Au P.C.S.</v>
      </c>
      <c r="H90" t="str">
        <v>Il n’y en a pas</v>
      </c>
      <c r="I90" t="str">
        <v>Aucune des réponses précédentes</v>
      </c>
    </row>
    <row r="91" spans="1:11" x14ac:dyDescent="0.25">
      <c r="A91" s="15" t="s">
        <v>547</v>
      </c>
      <c r="B91" s="7">
        <f t="shared" si="2"/>
        <v>3</v>
      </c>
      <c r="C91" s="7" t="str">
        <f t="shared" si="3"/>
        <v>En IGH, la sensibilisation d’un D.A.I. dans une circulation horizontale commune entraîne :|L’évacuation du compartiment sinistré et des compartiments adjacents|L’évacuation générale du bâtiment|L’évacuation du compartiment sinistré|Uniquement l’alarme restreinte au P.C.S.|Aucune des réponses précédentes</v>
      </c>
      <c r="D91" t="str" cm="1">
        <f t="array" ref="D91:I91">_xlfn.TEXTSPLIT(C91,"|")</f>
        <v>En IGH, la sensibilisation d’un D.A.I. dans une circulation horizontale commune entraîne :</v>
      </c>
      <c r="E91" t="str">
        <v>L’évacuation du compartiment sinistré et des compartiments adjacents</v>
      </c>
      <c r="F91" t="str">
        <v>L’évacuation générale du bâtiment</v>
      </c>
      <c r="G91" t="str">
        <v>L’évacuation du compartiment sinistré</v>
      </c>
      <c r="H91" t="str">
        <v>Uniquement l’alarme restreinte au P.C.S.</v>
      </c>
      <c r="I91" t="str">
        <v>Aucune des réponses précédentes</v>
      </c>
    </row>
    <row r="92" spans="1:11" x14ac:dyDescent="0.25">
      <c r="A92" s="15" t="s">
        <v>548</v>
      </c>
      <c r="B92" s="7">
        <f t="shared" si="2"/>
        <v>3</v>
      </c>
      <c r="C92" s="7" t="str">
        <f t="shared" si="3"/>
        <v>Dans les IGH comment est assurée la communication entre un compartiment et un escalier ?|Par un dispositif d’ouverture asservi à la D.A.I.|Par un dispositif d’ouverture automatique|Par un dispositif d’intercommunication|Par un dispositif de contrôle d’accès|Aucune des réponses précédentes</v>
      </c>
      <c r="D92" t="str" cm="1">
        <f t="array" ref="D92:I92">_xlfn.TEXTSPLIT(C92,"|")</f>
        <v>Dans les IGH comment est assurée la communication entre un compartiment et un escalier ?</v>
      </c>
      <c r="E92" t="str">
        <v>Par un dispositif d’ouverture asservi à la D.A.I.</v>
      </c>
      <c r="F92" t="str">
        <v>Par un dispositif d’ouverture automatique</v>
      </c>
      <c r="G92" t="str">
        <v>Par un dispositif d’intercommunication</v>
      </c>
      <c r="H92" t="str">
        <v>Par un dispositif de contrôle d’accès</v>
      </c>
      <c r="I92" t="str">
        <v>Aucune des réponses précédentes</v>
      </c>
    </row>
    <row r="93" spans="1:11" x14ac:dyDescent="0.25">
      <c r="A93" s="15" t="s">
        <v>549</v>
      </c>
      <c r="B93" s="7">
        <f t="shared" si="2"/>
        <v>3</v>
      </c>
      <c r="C93" s="7" t="str">
        <f t="shared" si="3"/>
        <v>Dans le dispositif d’intercommunication avec l’escalier et le compartiment IGH, le plan du niveau doit comporter l’emplacement :|Des ouvrants de désenfumage et de leurs commandes|Des moyens de secours|Des vannes d’arrêt et du téléphone d’alerte|Des distributeurs de boissons|Du bureau d’accueil et du téléphone urbain|Aucune des réponses précédentes</v>
      </c>
      <c r="D93" t="str" cm="1">
        <f t="array" ref="D93:J93">_xlfn.TEXTSPLIT(C93,"|")</f>
        <v>Dans le dispositif d’intercommunication avec l’escalier et le compartiment IGH, le plan du niveau doit comporter l’emplacement :</v>
      </c>
      <c r="E93" t="str">
        <v>Des ouvrants de désenfumage et de leurs commandes</v>
      </c>
      <c r="F93" t="str">
        <v>Des moyens de secours</v>
      </c>
      <c r="G93" t="str">
        <v>Des vannes d’arrêt et du téléphone d’alerte</v>
      </c>
      <c r="H93" t="str">
        <v>Des distributeurs de boissons</v>
      </c>
      <c r="I93" t="str">
        <v>Du bureau d’accueil et du téléphone urbain</v>
      </c>
      <c r="J93" t="str">
        <v>Aucune des réponses précédentes</v>
      </c>
    </row>
    <row r="94" spans="1:11" x14ac:dyDescent="0.25">
      <c r="A94" s="15" t="s">
        <v>550</v>
      </c>
      <c r="B94" s="7">
        <f t="shared" si="2"/>
        <v>3</v>
      </c>
      <c r="C94" s="7" t="str">
        <f t="shared" si="3"/>
        <v>Dans un I.G.H, l’alerte extérieure consiste à :|Demander l’intervention du service de sécurité|Demander l’intervention des services publics de secours|Attirer l’attention de sa hiérarchie|Prévenir les occupants d’un compartiment d’évacuer|Aucune des réponses précédentes</v>
      </c>
      <c r="D94" t="str" cm="1">
        <f t="array" ref="D94:I94">_xlfn.TEXTSPLIT(C94,"|")</f>
        <v>Dans un I.G.H, l’alerte extérieure consiste à :</v>
      </c>
      <c r="E94" t="str">
        <v>Demander l’intervention du service de sécurité</v>
      </c>
      <c r="F94" t="str">
        <v>Demander l’intervention des services publics de secours</v>
      </c>
      <c r="G94" t="str">
        <v>Attirer l’attention de sa hiérarchie</v>
      </c>
      <c r="H94" t="str">
        <v>Prévenir les occupants d’un compartiment d’évacuer</v>
      </c>
      <c r="I94" t="str">
        <v>Aucune des réponses précédentes</v>
      </c>
    </row>
    <row r="95" spans="1:11" ht="25.5" x14ac:dyDescent="0.25">
      <c r="A95" s="12" t="s">
        <v>551</v>
      </c>
      <c r="B95" s="7" t="e">
        <f t="shared" si="2"/>
        <v>#VALUE!</v>
      </c>
      <c r="C95" s="7" t="e">
        <f t="shared" si="3"/>
        <v>#VALUE!</v>
      </c>
      <c r="D95" t="e" cm="1">
        <f t="array" ref="D95">_xlfn.TEXTSPLIT(C95,"|")</f>
        <v>#VALUE!</v>
      </c>
    </row>
    <row r="96" spans="1:11" x14ac:dyDescent="0.25">
      <c r="A96" s="15" t="s">
        <v>552</v>
      </c>
      <c r="B96" s="7">
        <f t="shared" si="2"/>
        <v>2</v>
      </c>
      <c r="C96" s="7" t="str">
        <f t="shared" si="3"/>
        <v>Quel gaz est contenu dans la cartouche d’un extincteur à pression auxiliaire ?|De l’oxygène|Du protoxyde d’azote|Du dioxyde de carbone|Du monoxyde de carbone|Du butane|De l’air comprimé|Aucune des réponses précédentes</v>
      </c>
      <c r="D96" t="str" cm="1">
        <f t="array" ref="D96:K96">_xlfn.TEXTSPLIT(C96,"|")</f>
        <v>Quel gaz est contenu dans la cartouche d’un extincteur à pression auxiliaire ?</v>
      </c>
      <c r="E96" t="str">
        <v>De l’oxygène</v>
      </c>
      <c r="F96" t="str">
        <v>Du protoxyde d’azote</v>
      </c>
      <c r="G96" t="str">
        <v>Du dioxyde de carbone</v>
      </c>
      <c r="H96" t="str">
        <v>Du monoxyde de carbone</v>
      </c>
      <c r="I96" t="str">
        <v>Du butane</v>
      </c>
      <c r="J96" t="str">
        <v>De l’air comprimé</v>
      </c>
      <c r="K96" t="str">
        <v>Aucune des réponses précédentes</v>
      </c>
    </row>
    <row r="97" spans="1:10" x14ac:dyDescent="0.25">
      <c r="A97" s="15" t="s">
        <v>553</v>
      </c>
      <c r="B97" s="7">
        <f t="shared" si="2"/>
        <v>2</v>
      </c>
      <c r="C97" s="7" t="str">
        <f t="shared" si="3"/>
        <v>Dans le dispositif d’intercommunication avec l’escalier et le compartiment IGH, le plan du niveau doit comporter l’emplacement :|Des ouvrants de désenfumage et de leurs commandes|Des moyens de secours|Des vannes d’arrêt et du téléphone d’alerte|Des distributeurs de boissons|Du bureau d’accueil et du téléphone urbain|Aucune des réponses précédentes</v>
      </c>
      <c r="D97" t="str" cm="1">
        <f t="array" ref="D97:J97">_xlfn.TEXTSPLIT(C97,"|")</f>
        <v>Dans le dispositif d’intercommunication avec l’escalier et le compartiment IGH, le plan du niveau doit comporter l’emplacement :</v>
      </c>
      <c r="E97" t="str">
        <v>Des ouvrants de désenfumage et de leurs commandes</v>
      </c>
      <c r="F97" t="str">
        <v>Des moyens de secours</v>
      </c>
      <c r="G97" t="str">
        <v>Des vannes d’arrêt et du téléphone d’alerte</v>
      </c>
      <c r="H97" t="str">
        <v>Des distributeurs de boissons</v>
      </c>
      <c r="I97" t="str">
        <v>Du bureau d’accueil et du téléphone urbain</v>
      </c>
      <c r="J97" t="str">
        <v>Aucune des réponses précédentes</v>
      </c>
    </row>
    <row r="98" spans="1:10" x14ac:dyDescent="0.25">
      <c r="A98" s="15" t="s">
        <v>554</v>
      </c>
      <c r="B98" s="7">
        <f t="shared" si="2"/>
        <v>2</v>
      </c>
      <c r="C98" s="7" t="str">
        <f t="shared" si="3"/>
        <v>En IGH, où sont placés les dispositifs phoniques permettant de donner l’alerte intérieure au PCS ?|Dans les circulations privatives|Dans les locaux à risques|Dans les locaux privatifs|Dans les combles|Aucune des réponses précédentes</v>
      </c>
      <c r="D98" t="str" cm="1">
        <f t="array" ref="D98:I98">_xlfn.TEXTSPLIT(C98,"|")</f>
        <v>En IGH, où sont placés les dispositifs phoniques permettant de donner l’alerte intérieure au PCS ?</v>
      </c>
      <c r="E98" t="str">
        <v>Dans les circulations privatives</v>
      </c>
      <c r="F98" t="str">
        <v>Dans les locaux à risques</v>
      </c>
      <c r="G98" t="str">
        <v>Dans les locaux privatifs</v>
      </c>
      <c r="H98" t="str">
        <v>Dans les combles</v>
      </c>
      <c r="I98" t="str">
        <v>Aucune des réponses précédentes</v>
      </c>
    </row>
    <row r="99" spans="1:10" x14ac:dyDescent="0.25">
      <c r="A99" s="15" t="s">
        <v>555</v>
      </c>
      <c r="B99" s="7">
        <f t="shared" ref="B99:B162" si="4">FIND(". ",A99)</f>
        <v>2</v>
      </c>
      <c r="C99" s="7" t="str">
        <f t="shared" ref="C99:C162" si="5">RIGHT(A99, LEN(A99)-(B99+1))</f>
        <v>En E.R.P quelle doit-être la pression minimale d’un robinet d’incendie armé (RIA) ?|1 bar|2,5 bars au RIA le plus défavorisé|2,5 bars au RIA le plus favorisé|3 bars|Aucune des réponses précédentes</v>
      </c>
      <c r="D99" t="str" cm="1">
        <f t="array" ref="D99:I99">_xlfn.TEXTSPLIT(C99,"|")</f>
        <v>En E.R.P quelle doit-être la pression minimale d’un robinet d’incendie armé (RIA) ?</v>
      </c>
      <c r="E99" t="str">
        <v>1 bar</v>
      </c>
      <c r="F99" t="str">
        <v>2,5 bars au RIA le plus défavorisé</v>
      </c>
      <c r="G99" t="str">
        <v>2,5 bars au RIA le plus favorisé</v>
      </c>
      <c r="H99" t="str">
        <v>3 bars</v>
      </c>
      <c r="I99" t="str">
        <v>Aucune des réponses précédentes</v>
      </c>
    </row>
    <row r="100" spans="1:10" x14ac:dyDescent="0.25">
      <c r="A100" s="15" t="s">
        <v>556</v>
      </c>
      <c r="B100" s="7">
        <f t="shared" si="4"/>
        <v>2</v>
      </c>
      <c r="C100" s="7" t="str">
        <f t="shared" si="5"/>
        <v>En règle générale, en IGH, quelle doit être la capacité minimale pour assurer l’alimentation des colonnes en charge ?|60 m³|90 m³|100 m³|120 m³|200 m³|Aucune des réponses précédentes</v>
      </c>
      <c r="D100" t="str" cm="1">
        <f t="array" ref="D100:J100">_xlfn.TEXTSPLIT(C100,"|")</f>
        <v>En règle générale, en IGH, quelle doit être la capacité minimale pour assurer l’alimentation des colonnes en charge ?</v>
      </c>
      <c r="E100" t="str">
        <v>60 m³</v>
      </c>
      <c r="F100" t="str">
        <v>90 m³</v>
      </c>
      <c r="G100" t="str">
        <v>100 m³</v>
      </c>
      <c r="H100" t="str">
        <v>120 m³</v>
      </c>
      <c r="I100" t="str">
        <v>200 m³</v>
      </c>
      <c r="J100" t="str">
        <v>Aucune des réponses précédentes</v>
      </c>
    </row>
    <row r="101" spans="1:10" x14ac:dyDescent="0.25">
      <c r="A101" s="15" t="s">
        <v>557</v>
      </c>
      <c r="B101" s="7">
        <f t="shared" si="4"/>
        <v>2</v>
      </c>
      <c r="C101" s="7" t="str">
        <f t="shared" si="5"/>
        <v>Font partie des moyens d’extinction :|Les extincteurs|Le S.S.I|Les poteaux d’incendie|Le désenfumage|L’éclairage de sécurité|Aucune des réponses précédentes</v>
      </c>
      <c r="D101" t="str" cm="1">
        <f t="array" ref="D101:J101">_xlfn.TEXTSPLIT(C101,"|")</f>
        <v>Font partie des moyens d’extinction :</v>
      </c>
      <c r="E101" t="str">
        <v>Les extincteurs</v>
      </c>
      <c r="F101" t="str">
        <v>Le S.S.I</v>
      </c>
      <c r="G101" t="str">
        <v>Les poteaux d’incendie</v>
      </c>
      <c r="H101" t="str">
        <v>Le désenfumage</v>
      </c>
      <c r="I101" t="str">
        <v>L’éclairage de sécurité</v>
      </c>
      <c r="J101" t="str">
        <v>Aucune des réponses précédentes</v>
      </c>
    </row>
    <row r="102" spans="1:10" x14ac:dyDescent="0.25">
      <c r="A102" s="15" t="s">
        <v>558</v>
      </c>
      <c r="B102" s="7">
        <f t="shared" si="4"/>
        <v>2</v>
      </c>
      <c r="C102" s="7" t="str">
        <f t="shared" si="5"/>
        <v>Quelle est la fréquence réglementaire de vérification des extincteurs ?|Trimestrielle|Semestrielle|Annuelle|Biennale|Quinquennale|Aucune des réponses précédentes</v>
      </c>
      <c r="D102" t="str" cm="1">
        <f t="array" ref="D102:J102">_xlfn.TEXTSPLIT(C102,"|")</f>
        <v>Quelle est la fréquence réglementaire de vérification des extincteurs ?</v>
      </c>
      <c r="E102" t="str">
        <v>Trimestrielle</v>
      </c>
      <c r="F102" t="str">
        <v>Semestrielle</v>
      </c>
      <c r="G102" t="str">
        <v>Annuelle</v>
      </c>
      <c r="H102" t="str">
        <v>Biennale</v>
      </c>
      <c r="I102" t="str">
        <v>Quinquennale</v>
      </c>
      <c r="J102" t="str">
        <v>Aucune des réponses précédentes</v>
      </c>
    </row>
    <row r="103" spans="1:10" x14ac:dyDescent="0.25">
      <c r="A103" s="15" t="s">
        <v>559</v>
      </c>
      <c r="B103" s="7">
        <f t="shared" si="4"/>
        <v>2</v>
      </c>
      <c r="C103" s="7" t="str">
        <f t="shared" si="5"/>
        <v>Qui peut utiliser une colonne sèche en ERP et en IGH ?|Le chef d’établissement|Les agents SSIAP|Le personnel|Le public|Les pompiers|Aucune des réponses précédentes</v>
      </c>
      <c r="D103" t="str" cm="1">
        <f t="array" ref="D103:J103">_xlfn.TEXTSPLIT(C103,"|")</f>
        <v>Qui peut utiliser une colonne sèche en ERP et en IGH ?</v>
      </c>
      <c r="E103" t="str">
        <v>Le chef d’établissement</v>
      </c>
      <c r="F103" t="str">
        <v>Les agents SSIAP</v>
      </c>
      <c r="G103" t="str">
        <v>Le personnel</v>
      </c>
      <c r="H103" t="str">
        <v>Le public</v>
      </c>
      <c r="I103" t="str">
        <v>Les pompiers</v>
      </c>
      <c r="J103" t="str">
        <v>Aucune des réponses précédentes</v>
      </c>
    </row>
    <row r="104" spans="1:10" x14ac:dyDescent="0.25">
      <c r="A104" s="15" t="s">
        <v>560</v>
      </c>
      <c r="B104" s="7">
        <f t="shared" si="4"/>
        <v>2</v>
      </c>
      <c r="C104" s="7" t="str">
        <f t="shared" si="5"/>
        <v>À quelle distance doit se trouver le raccord d’alimentation d’une colonne sèche ?|20 m d’un véhicule d’incendie et de secours|60 m maxi de l’entrée de l’établissement|60 m maxi d’un poteau d’incendie|100 m maxi d’un poteau d’incendie|Aucune des réponses précédentes</v>
      </c>
      <c r="D104" t="str" cm="1">
        <f t="array" ref="D104:I104">_xlfn.TEXTSPLIT(C104,"|")</f>
        <v>À quelle distance doit se trouver le raccord d’alimentation d’une colonne sèche ?</v>
      </c>
      <c r="E104" t="str">
        <v>20 m d’un véhicule d’incendie et de secours</v>
      </c>
      <c r="F104" t="str">
        <v>60 m maxi de l’entrée de l’établissement</v>
      </c>
      <c r="G104" t="str">
        <v>60 m maxi d’un poteau d’incendie</v>
      </c>
      <c r="H104" t="str">
        <v>100 m maxi d’un poteau d’incendie</v>
      </c>
      <c r="I104" t="str">
        <v>Aucune des réponses précédentes</v>
      </c>
    </row>
    <row r="105" spans="1:10" x14ac:dyDescent="0.25">
      <c r="A105" s="15" t="s">
        <v>561</v>
      </c>
      <c r="B105" s="7">
        <f t="shared" si="4"/>
        <v>3</v>
      </c>
      <c r="C105" s="7" t="str">
        <f t="shared" si="5"/>
        <v>Quels sont les éléments qui composent obligatoirement un R.I.A ?|Un robinet d’arrêt|Une hache|Un tuyau semi-rigide|Un tuyau souple|Aucune des réponses précédentes</v>
      </c>
      <c r="D105" t="str" cm="1">
        <f t="array" ref="D105:I105">_xlfn.TEXTSPLIT(C105,"|")</f>
        <v>Quels sont les éléments qui composent obligatoirement un R.I.A ?</v>
      </c>
      <c r="E105" t="str">
        <v>Un robinet d’arrêt</v>
      </c>
      <c r="F105" t="str">
        <v>Une hache</v>
      </c>
      <c r="G105" t="str">
        <v>Un tuyau semi-rigide</v>
      </c>
      <c r="H105" t="str">
        <v>Un tuyau souple</v>
      </c>
      <c r="I105" t="str">
        <v>Aucune des réponses précédentes</v>
      </c>
    </row>
    <row r="106" spans="1:10" x14ac:dyDescent="0.25">
      <c r="A106" s="15" t="s">
        <v>562</v>
      </c>
      <c r="B106" s="7">
        <f t="shared" si="4"/>
        <v>3</v>
      </c>
      <c r="C106" s="7" t="str">
        <f t="shared" si="5"/>
        <v>Combien de colonnes sèches doit-il y avoir en IGH ?|Une par escalier|Une par compartiment|Par façade accessible|Un nombre défini par la commission de sécurité compétente|Aucune des réponses précédentes</v>
      </c>
      <c r="D106" t="str" cm="1">
        <f t="array" ref="D106:I106">_xlfn.TEXTSPLIT(C106,"|")</f>
        <v>Combien de colonnes sèches doit-il y avoir en IGH ?</v>
      </c>
      <c r="E106" t="str">
        <v>Une par escalier</v>
      </c>
      <c r="F106" t="str">
        <v>Une par compartiment</v>
      </c>
      <c r="G106" t="str">
        <v>Par façade accessible</v>
      </c>
      <c r="H106" t="str">
        <v>Un nombre défini par la commission de sécurité compétente</v>
      </c>
      <c r="I106" t="str">
        <v>Aucune des réponses précédentes</v>
      </c>
    </row>
    <row r="107" spans="1:10" x14ac:dyDescent="0.25">
      <c r="A107" s="15" t="s">
        <v>563</v>
      </c>
      <c r="B107" s="7">
        <f t="shared" si="4"/>
        <v>3</v>
      </c>
      <c r="C107" s="7" t="str">
        <f t="shared" si="5"/>
        <v>À partir de quelle hauteur un I.G.H doit-il être équipé de colonnes humides ?|Plus de 18 mètres|Plus de 28 mètres|Plus de 50 mètres|Tout le temps|Suivant décision de la C.C.D.S.A|Aucune des réponses précédentes</v>
      </c>
      <c r="D107" t="str" cm="1">
        <f t="array" ref="D107:J107">_xlfn.TEXTSPLIT(C107,"|")</f>
        <v>À partir de quelle hauteur un I.G.H doit-il être équipé de colonnes humides ?</v>
      </c>
      <c r="E107" t="str">
        <v>Plus de 18 mètres</v>
      </c>
      <c r="F107" t="str">
        <v>Plus de 28 mètres</v>
      </c>
      <c r="G107" t="str">
        <v>Plus de 50 mètres</v>
      </c>
      <c r="H107" t="str">
        <v>Tout le temps</v>
      </c>
      <c r="I107" t="str">
        <v>Suivant décision de la C.C.D.S.A</v>
      </c>
      <c r="J107" t="str">
        <v>Aucune des réponses précédentes</v>
      </c>
    </row>
    <row r="108" spans="1:10" x14ac:dyDescent="0.25">
      <c r="A108" s="15" t="s">
        <v>564</v>
      </c>
      <c r="B108" s="7">
        <f t="shared" si="4"/>
        <v>3</v>
      </c>
      <c r="C108" s="7" t="str">
        <f t="shared" si="5"/>
        <v>Que signifie le terme R.I.A ?|Réserve d’Incendie Auxiliaire|Robinet d’Intervention Armé|Robinet d’Incendie Armé|Robinet d’Incendie Auxiliaire|Aucune des réponses précédentes</v>
      </c>
      <c r="D108" t="str" cm="1">
        <f t="array" ref="D108:I108">_xlfn.TEXTSPLIT(C108,"|")</f>
        <v>Que signifie le terme R.I.A ?</v>
      </c>
      <c r="E108" t="str">
        <v>Réserve d’Incendie Auxiliaire</v>
      </c>
      <c r="F108" t="str">
        <v>Robinet d’Intervention Armé</v>
      </c>
      <c r="G108" t="str">
        <v>Robinet d’Incendie Armé</v>
      </c>
      <c r="H108" t="str">
        <v>Robinet d’Incendie Auxiliaire</v>
      </c>
      <c r="I108" t="str">
        <v>Aucune des réponses précédentes</v>
      </c>
    </row>
    <row r="109" spans="1:10" ht="25.5" x14ac:dyDescent="0.25">
      <c r="A109" s="12" t="s">
        <v>565</v>
      </c>
      <c r="B109" s="7" t="e">
        <f t="shared" si="4"/>
        <v>#VALUE!</v>
      </c>
      <c r="C109" s="7" t="e">
        <f t="shared" si="5"/>
        <v>#VALUE!</v>
      </c>
      <c r="D109" t="e" cm="1">
        <f t="array" ref="D109">_xlfn.TEXTSPLIT(C109,"|")</f>
        <v>#VALUE!</v>
      </c>
    </row>
    <row r="110" spans="1:10" ht="20.25" x14ac:dyDescent="0.25">
      <c r="A110" s="13" t="s">
        <v>566</v>
      </c>
      <c r="B110" s="7" t="e">
        <f t="shared" si="4"/>
        <v>#VALUE!</v>
      </c>
      <c r="C110" s="7" t="e">
        <f t="shared" si="5"/>
        <v>#VALUE!</v>
      </c>
      <c r="D110" t="e" cm="1">
        <f t="array" ref="D110">_xlfn.TEXTSPLIT(C110,"|")</f>
        <v>#VALUE!</v>
      </c>
    </row>
    <row r="111" spans="1:10" x14ac:dyDescent="0.25">
      <c r="A111" s="14" t="s">
        <v>567</v>
      </c>
      <c r="B111" s="7">
        <f t="shared" si="4"/>
        <v>2</v>
      </c>
      <c r="C111" s="7" t="str">
        <f t="shared" si="5"/>
        <v>Quels sont les dispositifs pouvant constituer une A.E.S ?|Un groupe électrogène|Des batteries d’accumulateurs|Le réseau électrique de distribution publique|Un onduleur|Aucune des réponses précédentes</v>
      </c>
      <c r="D111" t="str" cm="1">
        <f t="array" ref="D111:I111">_xlfn.TEXTSPLIT(C111,"|")</f>
        <v>Quels sont les dispositifs pouvant constituer une A.E.S ?</v>
      </c>
      <c r="E111" t="str">
        <v>Un groupe électrogène</v>
      </c>
      <c r="F111" t="str">
        <v>Des batteries d’accumulateurs</v>
      </c>
      <c r="G111" t="str">
        <v>Le réseau électrique de distribution publique</v>
      </c>
      <c r="H111" t="str">
        <v>Un onduleur</v>
      </c>
      <c r="I111" t="str">
        <v>Aucune des réponses précédentes</v>
      </c>
    </row>
    <row r="112" spans="1:10" x14ac:dyDescent="0.25">
      <c r="A112" s="14" t="s">
        <v>568</v>
      </c>
      <c r="B112" s="7">
        <f t="shared" si="4"/>
        <v>2</v>
      </c>
      <c r="C112" s="7" t="str">
        <f t="shared" si="5"/>
        <v>Qu’est-ce qu’un BAPI ?|Une borne aménagée pour l’incendie|Un balisage autonome particulier et indépendant|Bloc autonome portable d’intervention|Bloc autonome portable d’investigation|Aucune des réponses précédentes</v>
      </c>
      <c r="D112" t="str" cm="1">
        <f t="array" ref="D112:I112">_xlfn.TEXTSPLIT(C112,"|")</f>
        <v>Qu’est-ce qu’un BAPI ?</v>
      </c>
      <c r="E112" t="str">
        <v>Une borne aménagée pour l’incendie</v>
      </c>
      <c r="F112" t="str">
        <v>Un balisage autonome particulier et indépendant</v>
      </c>
      <c r="G112" t="str">
        <v>Bloc autonome portable d’intervention</v>
      </c>
      <c r="H112" t="str">
        <v>Bloc autonome portable d’investigation</v>
      </c>
      <c r="I112" t="str">
        <v>Aucune des réponses précédentes</v>
      </c>
    </row>
    <row r="113" spans="1:11" x14ac:dyDescent="0.25">
      <c r="A113" s="14" t="s">
        <v>569</v>
      </c>
      <c r="B113" s="7">
        <f t="shared" si="4"/>
        <v>2</v>
      </c>
      <c r="C113" s="7" t="str">
        <f t="shared" si="5"/>
        <v>L’autonomie d’une source de sécurité en ERP doit :|Être suffisante pour alimenter la totalité des installations électriques|Être suffisante pour alimenter la totalité des installations de sécurité pendant 1h00 minimum|Être suffisante pour alimenter la totalité des installations de remplacement pendant 06h00|Être définie dans tous les cas par la commission de sécurité compétente|Aucune des réponses précédentes</v>
      </c>
      <c r="D113" t="str" cm="1">
        <f t="array" ref="D113:I113">_xlfn.TEXTSPLIT(C113,"|")</f>
        <v>L’autonomie d’une source de sécurité en ERP doit :</v>
      </c>
      <c r="E113" t="str">
        <v>Être suffisante pour alimenter la totalité des installations électriques</v>
      </c>
      <c r="F113" t="str">
        <v>Être suffisante pour alimenter la totalité des installations de sécurité pendant 1h00 minimum</v>
      </c>
      <c r="G113" t="str">
        <v>Être suffisante pour alimenter la totalité des installations de remplacement pendant 06h00</v>
      </c>
      <c r="H113" t="str">
        <v>Être définie dans tous les cas par la commission de sécurité compétente</v>
      </c>
      <c r="I113" t="str">
        <v>Aucune des réponses précédentes</v>
      </c>
    </row>
    <row r="114" spans="1:11" x14ac:dyDescent="0.25">
      <c r="A114" s="14" t="s">
        <v>570</v>
      </c>
      <c r="B114" s="7">
        <f t="shared" si="4"/>
        <v>2</v>
      </c>
      <c r="C114" s="7" t="str">
        <f t="shared" si="5"/>
        <v>L’accès au TGBT est :|Réservé au public|Réservé au public si celui-ci est habilité H0B0|Interdit aux agents SSIAP|Réservé aux personnes qualifiées|Aucune des réponses précédentes</v>
      </c>
      <c r="D114" t="str" cm="1">
        <f t="array" ref="D114:I114">_xlfn.TEXTSPLIT(C114,"|")</f>
        <v>L’accès au TGBT est :</v>
      </c>
      <c r="E114" t="str">
        <v>Réservé au public</v>
      </c>
      <c r="F114" t="str">
        <v>Réservé au public si celui-ci est habilité H0B0</v>
      </c>
      <c r="G114" t="str">
        <v>Interdit aux agents SSIAP</v>
      </c>
      <c r="H114" t="str">
        <v>Réservé aux personnes qualifiées</v>
      </c>
      <c r="I114" t="str">
        <v>Aucune des réponses précédentes</v>
      </c>
    </row>
    <row r="115" spans="1:11" x14ac:dyDescent="0.25">
      <c r="A115" s="14" t="s">
        <v>571</v>
      </c>
      <c r="B115" s="7">
        <f t="shared" si="4"/>
        <v>2</v>
      </c>
      <c r="C115" s="7" t="str">
        <f t="shared" si="5"/>
        <v>En ERP les batteries d’accumulateurs doivent être capables de secourir :|Le désenfumage|Les ascenseurs|Les systèmes d’alarme et d’alerte|Les escaliers mécaniques|Aucune des réponses précédentes</v>
      </c>
      <c r="D115" t="str" cm="1">
        <f t="array" ref="D115:I115">_xlfn.TEXTSPLIT(C115,"|")</f>
        <v>En ERP les batteries d’accumulateurs doivent être capables de secourir :</v>
      </c>
      <c r="E115" t="str">
        <v>Le désenfumage</v>
      </c>
      <c r="F115" t="str">
        <v>Les ascenseurs</v>
      </c>
      <c r="G115" t="str">
        <v>Les systèmes d’alarme et d’alerte</v>
      </c>
      <c r="H115" t="str">
        <v>Les escaliers mécaniques</v>
      </c>
      <c r="I115" t="str">
        <v>Aucune des réponses précédentes</v>
      </c>
    </row>
    <row r="116" spans="1:11" ht="20.25" x14ac:dyDescent="0.25">
      <c r="A116" s="13" t="s">
        <v>572</v>
      </c>
      <c r="B116" s="7" t="e">
        <f t="shared" si="4"/>
        <v>#VALUE!</v>
      </c>
      <c r="C116" s="7" t="e">
        <f t="shared" si="5"/>
        <v>#VALUE!</v>
      </c>
      <c r="D116" t="e" cm="1">
        <f t="array" ref="D116">_xlfn.TEXTSPLIT(C116,"|")</f>
        <v>#VALUE!</v>
      </c>
    </row>
    <row r="117" spans="1:11" x14ac:dyDescent="0.25">
      <c r="A117" s="14" t="s">
        <v>573</v>
      </c>
      <c r="B117" s="7">
        <f t="shared" si="4"/>
        <v>2</v>
      </c>
      <c r="C117" s="7" t="str">
        <f t="shared" si="5"/>
        <v>Quels équipements de sécurité peut-on trouver dans une cabine d’ascenseur ?|Un R.I.A|Une sonnerie d’appel|Une trousse de 1er secours|Un éclairage de sécurité|Un cendrier|Aucune des réponses précédentes</v>
      </c>
      <c r="D117" t="str" cm="1">
        <f t="array" ref="D117:J117">_xlfn.TEXTSPLIT(C117,"|")</f>
        <v>Quels équipements de sécurité peut-on trouver dans une cabine d’ascenseur ?</v>
      </c>
      <c r="E117" t="str">
        <v>Un R.I.A</v>
      </c>
      <c r="F117" t="str">
        <v>Une sonnerie d’appel</v>
      </c>
      <c r="G117" t="str">
        <v>Une trousse de 1er secours</v>
      </c>
      <c r="H117" t="str">
        <v>Un éclairage de sécurité</v>
      </c>
      <c r="I117" t="str">
        <v>Un cendrier</v>
      </c>
      <c r="J117" t="str">
        <v>Aucune des réponses précédentes</v>
      </c>
    </row>
    <row r="118" spans="1:11" x14ac:dyDescent="0.25">
      <c r="A118" s="14" t="s">
        <v>574</v>
      </c>
      <c r="B118" s="7">
        <f t="shared" si="4"/>
        <v>2</v>
      </c>
      <c r="C118" s="7" t="str">
        <f t="shared" si="5"/>
        <v>Afin d’empêcher les accidents de personnes, quels sont les dispositifs de protection équipant les ascenseurs ?|Réducteur de vitesse|Système "parachute"|Système E.S.P.|Système A.B.S.|Porte palière avec sécurité anti-pincement|Aucune des réponses précédentes</v>
      </c>
      <c r="D118" t="str" cm="1">
        <f t="array" ref="D118:J118">_xlfn.TEXTSPLIT(C118,"|")</f>
        <v>Afin d’empêcher les accidents de personnes, quels sont les dispositifs de protection équipant les ascenseurs ?</v>
      </c>
      <c r="E118" t="str">
        <v>Réducteur de vitesse</v>
      </c>
      <c r="F118" t="str">
        <v>Système "parachute"</v>
      </c>
      <c r="G118" t="str">
        <v>Système E.S.P.</v>
      </c>
      <c r="H118" t="str">
        <v>Système A.B.S.</v>
      </c>
      <c r="I118" t="str">
        <v>Porte palière avec sécurité anti-pincement</v>
      </c>
      <c r="J118" t="str">
        <v>Aucune des réponses précédentes</v>
      </c>
    </row>
    <row r="119" spans="1:11" ht="20.25" x14ac:dyDescent="0.25">
      <c r="A119" s="13" t="s">
        <v>575</v>
      </c>
      <c r="B119" s="7" t="e">
        <f t="shared" si="4"/>
        <v>#VALUE!</v>
      </c>
      <c r="C119" s="7" t="e">
        <f t="shared" si="5"/>
        <v>#VALUE!</v>
      </c>
      <c r="D119" t="e" cm="1">
        <f t="array" ref="D119">_xlfn.TEXTSPLIT(C119,"|")</f>
        <v>#VALUE!</v>
      </c>
    </row>
    <row r="120" spans="1:11" x14ac:dyDescent="0.25">
      <c r="A120" s="14" t="s">
        <v>576</v>
      </c>
      <c r="B120" s="7">
        <f t="shared" si="4"/>
        <v>2</v>
      </c>
      <c r="C120" s="7" t="str">
        <f t="shared" si="5"/>
        <v>Quelle est la caractéristique minimale de la source A d’une installation fixe d’extinction automatique à eau ?|Réserve d’eau d’une demi-heure|Réserve d’eau d’une heure|Réserve d’eau d’une heure et demie|Source d’eau potable|Aucune des réponses précédentes</v>
      </c>
      <c r="D120" t="str" cm="1">
        <f t="array" ref="D120:I120">_xlfn.TEXTSPLIT(C120,"|")</f>
        <v>Quelle est la caractéristique minimale de la source A d’une installation fixe d’extinction automatique à eau ?</v>
      </c>
      <c r="E120" t="str">
        <v>Réserve d’eau d’une demi-heure</v>
      </c>
      <c r="F120" t="str">
        <v>Réserve d’eau d’une heure</v>
      </c>
      <c r="G120" t="str">
        <v>Réserve d’eau d’une heure et demie</v>
      </c>
      <c r="H120" t="str">
        <v>Source d’eau potable</v>
      </c>
      <c r="I120" t="str">
        <v>Aucune des réponses précédentes</v>
      </c>
    </row>
    <row r="121" spans="1:11" x14ac:dyDescent="0.25">
      <c r="A121" s="14" t="s">
        <v>577</v>
      </c>
      <c r="B121" s="7">
        <f t="shared" si="4"/>
        <v>2</v>
      </c>
      <c r="C121" s="7" t="str">
        <f t="shared" si="5"/>
        <v>Quelles vannes d’un poste de contrôle “SPRINKLEUR” sont normalement fermées ?|La vanne d’alimentation et la vanne de vidange|La vanne d’alimentation et la vanne de cloche|La vanne de vidange et la vanne d’essai|La vanne d’essai et la vanne de cloche|Aucune des vannes|Aucune des réponses précédentes</v>
      </c>
      <c r="D121" t="str" cm="1">
        <f t="array" ref="D121:J121">_xlfn.TEXTSPLIT(C121,"|")</f>
        <v>Quelles vannes d’un poste de contrôle “SPRINKLEUR” sont normalement fermées ?</v>
      </c>
      <c r="E121" t="str">
        <v>La vanne d’alimentation et la vanne de vidange</v>
      </c>
      <c r="F121" t="str">
        <v>La vanne d’alimentation et la vanne de cloche</v>
      </c>
      <c r="G121" t="str">
        <v>La vanne de vidange et la vanne d’essai</v>
      </c>
      <c r="H121" t="str">
        <v>La vanne d’essai et la vanne de cloche</v>
      </c>
      <c r="I121" t="str">
        <v>Aucune des vannes</v>
      </c>
      <c r="J121" t="str">
        <v>Aucune des réponses précédentes</v>
      </c>
    </row>
    <row r="122" spans="1:11" x14ac:dyDescent="0.25">
      <c r="A122" s="14" t="s">
        <v>578</v>
      </c>
      <c r="B122" s="7">
        <f t="shared" si="4"/>
        <v>2</v>
      </c>
      <c r="C122" s="7" t="str">
        <f t="shared" si="5"/>
        <v>Quelle est la caractéristique minimale de la source B d’une installation fixe d’extinction automatique à eau ?|Réserve d’eau d’une demi-heure|Réserve d’eau d’une heure|Source d’eau dite inépuisable|Aucune des réponses précédentes</v>
      </c>
      <c r="D122" t="str" cm="1">
        <f t="array" ref="D122:H122">_xlfn.TEXTSPLIT(C122,"|")</f>
        <v>Quelle est la caractéristique minimale de la source B d’une installation fixe d’extinction automatique à eau ?</v>
      </c>
      <c r="E122" t="str">
        <v>Réserve d’eau d’une demi-heure</v>
      </c>
      <c r="F122" t="str">
        <v>Réserve d’eau d’une heure</v>
      </c>
      <c r="G122" t="str">
        <v>Source d’eau dite inépuisable</v>
      </c>
      <c r="H122" t="str">
        <v>Aucune des réponses précédentes</v>
      </c>
    </row>
    <row r="123" spans="1:11" x14ac:dyDescent="0.25">
      <c r="A123" s="14" t="s">
        <v>579</v>
      </c>
      <c r="B123" s="7">
        <f t="shared" si="4"/>
        <v>2</v>
      </c>
      <c r="C123" s="7" t="str">
        <f t="shared" si="5"/>
        <v>Un poste sprinkler peut surveiller jusqu’à :|99 têtes|500 têtes|1000 têtes|10 000 têtes|Aucune des réponses précédentes</v>
      </c>
      <c r="D123" t="str" cm="1">
        <f t="array" ref="D123:I123">_xlfn.TEXTSPLIT(C123,"|")</f>
        <v>Un poste sprinkler peut surveiller jusqu’à :</v>
      </c>
      <c r="E123" t="str">
        <v>99 têtes</v>
      </c>
      <c r="F123" t="str">
        <v>500 têtes</v>
      </c>
      <c r="G123" t="str">
        <v>1000 têtes</v>
      </c>
      <c r="H123" t="str">
        <v>10 000 têtes</v>
      </c>
      <c r="I123" t="str">
        <v>Aucune des réponses précédentes</v>
      </c>
    </row>
    <row r="124" spans="1:11" x14ac:dyDescent="0.25">
      <c r="A124" s="14" t="s">
        <v>580</v>
      </c>
      <c r="B124" s="7">
        <f t="shared" si="4"/>
        <v>2</v>
      </c>
      <c r="C124" s="7" t="str">
        <f t="shared" si="5"/>
        <v>Le(s) quel(s) de ces équipements fait (font) partie d’une installation d’extinction automatique à eau ?|Des têtes d’extinction|Un réseau de canalisation|Un poteau d’incendie|Un groupe électrogène|Un poste de contrôle|Un manomètre enregistreur|Aucune des réponses précédentes</v>
      </c>
      <c r="D124" t="str" cm="1">
        <f t="array" ref="D124:K124">_xlfn.TEXTSPLIT(C124,"|")</f>
        <v>Le(s) quel(s) de ces équipements fait (font) partie d’une installation d’extinction automatique à eau ?</v>
      </c>
      <c r="E124" t="str">
        <v>Des têtes d’extinction</v>
      </c>
      <c r="F124" t="str">
        <v>Un réseau de canalisation</v>
      </c>
      <c r="G124" t="str">
        <v>Un poteau d’incendie</v>
      </c>
      <c r="H124" t="str">
        <v>Un groupe électrogène</v>
      </c>
      <c r="I124" t="str">
        <v>Un poste de contrôle</v>
      </c>
      <c r="J124" t="str">
        <v>Un manomètre enregistreur</v>
      </c>
      <c r="K124" t="str">
        <v>Aucune des réponses précédentes</v>
      </c>
    </row>
    <row r="125" spans="1:11" x14ac:dyDescent="0.25">
      <c r="A125" s="14" t="s">
        <v>581</v>
      </c>
      <c r="B125" s="7">
        <f t="shared" si="4"/>
        <v>2</v>
      </c>
      <c r="C125" s="7" t="str">
        <f t="shared" si="5"/>
        <v>La couleur rouge de l’ampoule d’une tête d’extinction correspond à une température de rupture de :|57 °C|68 °C|79 °C|90 °C|Aucune des réponses précédentes</v>
      </c>
      <c r="D125" t="str" cm="1">
        <f t="array" ref="D125:I125">_xlfn.TEXTSPLIT(C125,"|")</f>
        <v>La couleur rouge de l’ampoule d’une tête d’extinction correspond à une température de rupture de :</v>
      </c>
      <c r="E125" t="str">
        <v>57 °C</v>
      </c>
      <c r="F125" t="str">
        <v>68 °C</v>
      </c>
      <c r="G125" t="str">
        <v>79 °C</v>
      </c>
      <c r="H125" t="str">
        <v>90 °C</v>
      </c>
      <c r="I125" t="str">
        <v>Aucune des réponses précédentes</v>
      </c>
    </row>
    <row r="126" spans="1:11" x14ac:dyDescent="0.25">
      <c r="A126" s="14" t="s">
        <v>582</v>
      </c>
      <c r="B126" s="7">
        <f t="shared" si="4"/>
        <v>2</v>
      </c>
      <c r="C126" s="7" t="str">
        <f t="shared" si="5"/>
        <v>Quels sont les agents extincteurs rencontrés dans une Installation Fixe d’Extinction Automatique à Gaz ?|L’oxygène|Le dioxyde de carbone|Les gaz lourds|Les agents inhibiteurs|Les gaz inertes|Aucune des réponses précédentes</v>
      </c>
      <c r="D126" t="str" cm="1">
        <f t="array" ref="D126:J126">_xlfn.TEXTSPLIT(C126,"|")</f>
        <v>Quels sont les agents extincteurs rencontrés dans une Installation Fixe d’Extinction Automatique à Gaz ?</v>
      </c>
      <c r="E126" t="str">
        <v>L’oxygène</v>
      </c>
      <c r="F126" t="str">
        <v>Le dioxyde de carbone</v>
      </c>
      <c r="G126" t="str">
        <v>Les gaz lourds</v>
      </c>
      <c r="H126" t="str">
        <v>Les agents inhibiteurs</v>
      </c>
      <c r="I126" t="str">
        <v>Les gaz inertes</v>
      </c>
      <c r="J126" t="str">
        <v>Aucune des réponses précédentes</v>
      </c>
    </row>
    <row r="127" spans="1:11" ht="20.25" x14ac:dyDescent="0.25">
      <c r="A127" s="13" t="s">
        <v>583</v>
      </c>
      <c r="B127" s="7" t="e">
        <f t="shared" si="4"/>
        <v>#VALUE!</v>
      </c>
      <c r="C127" s="7" t="e">
        <f t="shared" si="5"/>
        <v>#VALUE!</v>
      </c>
      <c r="D127" t="e" cm="1">
        <f t="array" ref="D127">_xlfn.TEXTSPLIT(C127,"|")</f>
        <v>#VALUE!</v>
      </c>
    </row>
    <row r="128" spans="1:11" x14ac:dyDescent="0.25">
      <c r="A128" s="14" t="s">
        <v>584</v>
      </c>
      <c r="B128" s="7">
        <f t="shared" si="4"/>
        <v>2</v>
      </c>
      <c r="C128" s="7" t="str">
        <f t="shared" si="5"/>
        <v>En IGH, quelle doit être la pression statique à assurer en permanence chaque colonne en charge ?|Comprise entre 4 et 6 bars|Comprise entre 5 et 7 bars|Comprise entre 7 et 9 bars|Variable selon le classement|Aucune des réponses précédentes</v>
      </c>
      <c r="D128" t="str" cm="1">
        <f t="array" ref="D128:I128">_xlfn.TEXTSPLIT(C128,"|")</f>
        <v>En IGH, quelle doit être la pression statique à assurer en permanence chaque colonne en charge ?</v>
      </c>
      <c r="E128" t="str">
        <v>Comprise entre 4 et 6 bars</v>
      </c>
      <c r="F128" t="str">
        <v>Comprise entre 5 et 7 bars</v>
      </c>
      <c r="G128" t="str">
        <v>Comprise entre 7 et 9 bars</v>
      </c>
      <c r="H128" t="str">
        <v>Variable selon le classement</v>
      </c>
      <c r="I128" t="str">
        <v>Aucune des réponses précédentes</v>
      </c>
    </row>
    <row r="129" spans="1:11" x14ac:dyDescent="0.25">
      <c r="A129" s="14" t="s">
        <v>585</v>
      </c>
      <c r="B129" s="7">
        <f t="shared" si="4"/>
        <v>2</v>
      </c>
      <c r="C129" s="7" t="str">
        <f t="shared" si="5"/>
        <v>Quelles sont les opérations de surveillance à réaliser sur une colonne sèche ?|Vérifier la présence des bouchons à chaque niveau|Contrôler le bon fonctionnement de la robinetterie|S’assurer que le local dans lequel la colonne sèche se trouve est fermé à clé|S’assurer du libre accès des raccords d’alimentation|Aucune des réponses précédentes</v>
      </c>
      <c r="D129" t="str" cm="1">
        <f t="array" ref="D129:I129">_xlfn.TEXTSPLIT(C129,"|")</f>
        <v>Quelles sont les opérations de surveillance à réaliser sur une colonne sèche ?</v>
      </c>
      <c r="E129" t="str">
        <v>Vérifier la présence des bouchons à chaque niveau</v>
      </c>
      <c r="F129" t="str">
        <v>Contrôler le bon fonctionnement de la robinetterie</v>
      </c>
      <c r="G129" t="str">
        <v>S’assurer que le local dans lequel la colonne sèche se trouve est fermé à clé</v>
      </c>
      <c r="H129" t="str">
        <v>S’assurer du libre accès des raccords d’alimentation</v>
      </c>
      <c r="I129" t="str">
        <v>Aucune des réponses précédentes</v>
      </c>
    </row>
    <row r="130" spans="1:11" ht="25.5" x14ac:dyDescent="0.25">
      <c r="A130" s="12" t="s">
        <v>586</v>
      </c>
      <c r="B130" s="7">
        <f t="shared" si="4"/>
        <v>13</v>
      </c>
      <c r="C130" s="7" t="str">
        <f t="shared" si="5"/>
        <v>(4)</v>
      </c>
      <c r="D130" t="str" cm="1">
        <f t="array" ref="D130">_xlfn.TEXTSPLIT(C130,"|")</f>
        <v>(4)</v>
      </c>
    </row>
    <row r="131" spans="1:11" x14ac:dyDescent="0.25">
      <c r="A131" s="14" t="s">
        <v>587</v>
      </c>
      <c r="B131" s="7">
        <f t="shared" si="4"/>
        <v>2</v>
      </c>
      <c r="C131" s="7" t="str">
        <f t="shared" si="5"/>
        <v>Sur l'unité de signalisation qu'indique un voyant jaune fixe ?|Un D.A.S. est en dérangement.|Un D.A.S. n'est plus en position d'attente.|Tous les D.A.S. sont en position d'attente|Un D.A.S. est en position de sécurité|Tous les D.A.S. sont en position de sécurité.|Aucune des réponses précédentes</v>
      </c>
      <c r="D131" t="str" cm="1">
        <f t="array" ref="D131:J131">_xlfn.TEXTSPLIT(C131,"|")</f>
        <v>Sur l'unité de signalisation qu'indique un voyant jaune fixe ?</v>
      </c>
      <c r="E131" t="str">
        <v>Un D.A.S. est en dérangement.</v>
      </c>
      <c r="F131" t="str">
        <v>Un D.A.S. n'est plus en position d'attente.</v>
      </c>
      <c r="G131" t="str">
        <v>Tous les D.A.S. sont en position d'attente</v>
      </c>
      <c r="H131" t="str">
        <v>Un D.A.S. est en position de sécurité</v>
      </c>
      <c r="I131" t="str">
        <v>Tous les D.A.S. sont en position de sécurité.</v>
      </c>
      <c r="J131" t="str">
        <v>Aucune des réponses précédentes</v>
      </c>
    </row>
    <row r="132" spans="1:11" x14ac:dyDescent="0.25">
      <c r="A132" s="14" t="s">
        <v>588</v>
      </c>
      <c r="B132" s="7">
        <f t="shared" si="4"/>
        <v>2</v>
      </c>
      <c r="C132" s="7" t="str">
        <f t="shared" si="5"/>
        <v>Quelle est la durée minimale de la diffusion de l'alarme générale ?|1 minute|5 minutes|10 minutes|1 heure|Aucune des réponses précédentes</v>
      </c>
      <c r="D132" t="str" cm="1">
        <f t="array" ref="D132:I132">_xlfn.TEXTSPLIT(C132,"|")</f>
        <v>Quelle est la durée minimale de la diffusion de l'alarme générale ?</v>
      </c>
      <c r="E132" t="str">
        <v>1 minute</v>
      </c>
      <c r="F132" t="str">
        <v>5 minutes</v>
      </c>
      <c r="G132" t="str">
        <v>10 minutes</v>
      </c>
      <c r="H132" t="str">
        <v>1 heure</v>
      </c>
      <c r="I132" t="str">
        <v>Aucune des réponses précédentes</v>
      </c>
    </row>
    <row r="133" spans="1:11" x14ac:dyDescent="0.25">
      <c r="A133" s="14" t="s">
        <v>589</v>
      </c>
      <c r="B133" s="7">
        <f t="shared" si="4"/>
        <v>2</v>
      </c>
      <c r="C133" s="7" t="str">
        <f t="shared" si="5"/>
        <v>Lors de la mise en route de la fonction désenfumage quels D.A.S seront sollicités ?|Les volets d'amenée d'air et d'extraction des fumées.|Les clapets de ventilation ou de climatisation.|La fermeture des portes C.F.|Le non-stop des ascenseurs dans la zone concernée.|Les coffrets de relayage|Aucune des réponses précédentes</v>
      </c>
      <c r="D133" t="str" cm="1">
        <f t="array" ref="D133:J133">_xlfn.TEXTSPLIT(C133,"|")</f>
        <v>Lors de la mise en route de la fonction désenfumage quels D.A.S seront sollicités ?</v>
      </c>
      <c r="E133" t="str">
        <v>Les volets d'amenée d'air et d'extraction des fumées.</v>
      </c>
      <c r="F133" t="str">
        <v>Les clapets de ventilation ou de climatisation.</v>
      </c>
      <c r="G133" t="str">
        <v>La fermeture des portes C.F.</v>
      </c>
      <c r="H133" t="str">
        <v>Le non-stop des ascenseurs dans la zone concernée.</v>
      </c>
      <c r="I133" t="str">
        <v>Les coffrets de relayage</v>
      </c>
      <c r="J133" t="str">
        <v>Aucune des réponses précédentes</v>
      </c>
    </row>
    <row r="134" spans="1:11" x14ac:dyDescent="0.25">
      <c r="A134" s="14" t="s">
        <v>590</v>
      </c>
      <c r="B134" s="7">
        <f t="shared" si="4"/>
        <v>2</v>
      </c>
      <c r="C134" s="7" t="str">
        <f t="shared" si="5"/>
        <v>A quoi sert une U.G.C.I.S ?|Centraliser les informations de la détection|Commander depuis le PC les organes de sécurité|Gérer les issues de secours|Visualiser les détections|Aucune des réponses précédentes</v>
      </c>
      <c r="D134" t="str" cm="1">
        <f t="array" ref="D134:I134">_xlfn.TEXTSPLIT(C134,"|")</f>
        <v>A quoi sert une U.G.C.I.S ?</v>
      </c>
      <c r="E134" t="str">
        <v>Centraliser les informations de la détection</v>
      </c>
      <c r="F134" t="str">
        <v>Commander depuis le PC les organes de sécurité</v>
      </c>
      <c r="G134" t="str">
        <v>Gérer les issues de secours</v>
      </c>
      <c r="H134" t="str">
        <v>Visualiser les détections</v>
      </c>
      <c r="I134" t="str">
        <v>Aucune des réponses précédentes</v>
      </c>
    </row>
    <row r="135" spans="1:11" x14ac:dyDescent="0.25">
      <c r="A135" s="14" t="s">
        <v>591</v>
      </c>
      <c r="B135" s="7">
        <f t="shared" si="4"/>
        <v>2</v>
      </c>
      <c r="C135" s="7" t="str">
        <f t="shared" si="5"/>
        <v>Qu'indique l'Unité de Signalisation lorsqu'un "voyant rouge" clignote?|Un défaut de ligne|Une zone mise hors service|Les Dispositifs Actionnés de Sécurité en position de sécurité|Les Dispositifs Actionnés de Sécurité en position d'attente|Les lampes de l'unité de signalisation sont défectueuses|Aucune des réponses précédentes</v>
      </c>
      <c r="D135" t="str" cm="1">
        <f t="array" ref="D135:J135">_xlfn.TEXTSPLIT(C135,"|")</f>
        <v>Qu'indique l'Unité de Signalisation lorsqu'un "voyant rouge" clignote?</v>
      </c>
      <c r="E135" t="str">
        <v>Un défaut de ligne</v>
      </c>
      <c r="F135" t="str">
        <v>Une zone mise hors service</v>
      </c>
      <c r="G135" t="str">
        <v>Les Dispositifs Actionnés de Sécurité en position de sécurité</v>
      </c>
      <c r="H135" t="str">
        <v>Les Dispositifs Actionnés de Sécurité en position d'attente</v>
      </c>
      <c r="I135" t="str">
        <v>Les lampes de l'unité de signalisation sont défectueuses</v>
      </c>
      <c r="J135" t="str">
        <v>Aucune des réponses précédentes</v>
      </c>
    </row>
    <row r="136" spans="1:11" x14ac:dyDescent="0.25">
      <c r="A136" s="14" t="s">
        <v>592</v>
      </c>
      <c r="B136" s="7">
        <f t="shared" si="4"/>
        <v>2</v>
      </c>
      <c r="C136" s="7" t="str">
        <f t="shared" si="5"/>
        <v>Dans cette liste, quel(s) élément(s) entre(nt) dans la composition d'un S.S.I. de catégorie A ?|L'unité manuelle de commande|Le centralisateur de mise en sécurité incendie|L'unité de gestion d'alerte|Les alimentations électriques de sécurité|L'agent de sécurité|L'Unité de Gestion d'Alarme|Aucune des réponses précédentes</v>
      </c>
      <c r="D136" t="str" cm="1">
        <f t="array" ref="D136:K136">_xlfn.TEXTSPLIT(C136,"|")</f>
        <v>Dans cette liste, quel(s) élément(s) entre(nt) dans la composition d'un S.S.I. de catégorie A ?</v>
      </c>
      <c r="E136" t="str">
        <v>L'unité manuelle de commande</v>
      </c>
      <c r="F136" t="str">
        <v>Le centralisateur de mise en sécurité incendie</v>
      </c>
      <c r="G136" t="str">
        <v>L'unité de gestion d'alerte</v>
      </c>
      <c r="H136" t="str">
        <v>Les alimentations électriques de sécurité</v>
      </c>
      <c r="I136" t="str">
        <v>L'agent de sécurité</v>
      </c>
      <c r="J136" t="str">
        <v>L'Unité de Gestion d'Alarme</v>
      </c>
      <c r="K136" t="str">
        <v>Aucune des réponses précédentes</v>
      </c>
    </row>
    <row r="137" spans="1:11" x14ac:dyDescent="0.25">
      <c r="A137" s="14" t="s">
        <v>593</v>
      </c>
      <c r="B137" s="7">
        <f t="shared" si="4"/>
        <v>2</v>
      </c>
      <c r="C137" s="7" t="str">
        <f t="shared" si="5"/>
        <v>En IGH, que se passe-t-il lorsqu'un D.A.I. est sensibilisé dans une circulation horizontale commune?|Il ne se passe rien|Diffusion d'un message pré enregistré|Diffusion de l'alarme générale sonore dans tout le bâtiment|Diffusion de l'alarme générale sonore dans le compartiment sinistré|Aucune réponse précédente</v>
      </c>
      <c r="D137" t="str" cm="1">
        <f t="array" ref="D137:I137">_xlfn.TEXTSPLIT(C137,"|")</f>
        <v>En IGH, que se passe-t-il lorsqu'un D.A.I. est sensibilisé dans une circulation horizontale commune?</v>
      </c>
      <c r="E137" t="str">
        <v>Il ne se passe rien</v>
      </c>
      <c r="F137" t="str">
        <v>Diffusion d'un message pré enregistré</v>
      </c>
      <c r="G137" t="str">
        <v>Diffusion de l'alarme générale sonore dans tout le bâtiment</v>
      </c>
      <c r="H137" t="str">
        <v>Diffusion de l'alarme générale sonore dans le compartiment sinistré</v>
      </c>
      <c r="I137" t="str">
        <v>Aucune réponse précédente</v>
      </c>
    </row>
    <row r="138" spans="1:11" x14ac:dyDescent="0.25">
      <c r="A138" s="14" t="s">
        <v>594</v>
      </c>
      <c r="B138" s="7">
        <f t="shared" si="4"/>
        <v>2</v>
      </c>
      <c r="C138" s="7" t="str">
        <f t="shared" si="5"/>
        <v>A quel principe de fonctionnement associe-t-on un détecteur thermo vélocimétrique ?|À l'élévation de la température dans un temps donné|A l'association de l'élévation de température et de fumées|A l'association de l'élévation de température et de flammes|À l'élévation de la température et détection de vapeurs combustibles|Aucune des réponses précédentes</v>
      </c>
      <c r="D138" t="str" cm="1">
        <f t="array" ref="D138:I138">_xlfn.TEXTSPLIT(C138,"|")</f>
        <v>A quel principe de fonctionnement associe-t-on un détecteur thermo vélocimétrique ?</v>
      </c>
      <c r="E138" t="str">
        <v>À l'élévation de la température dans un temps donné</v>
      </c>
      <c r="F138" t="str">
        <v>A l'association de l'élévation de température et de fumées</v>
      </c>
      <c r="G138" t="str">
        <v>A l'association de l'élévation de température et de flammes</v>
      </c>
      <c r="H138" t="str">
        <v>À l'élévation de la température et détection de vapeurs combustibles</v>
      </c>
      <c r="I138" t="str">
        <v>Aucune des réponses précédentes</v>
      </c>
    </row>
    <row r="139" spans="1:11" x14ac:dyDescent="0.25">
      <c r="A139" s="14" t="s">
        <v>595</v>
      </c>
      <c r="B139" s="7">
        <f t="shared" si="4"/>
        <v>2</v>
      </c>
      <c r="C139" s="7" t="str">
        <f t="shared" si="5"/>
        <v>En I.G.H, quelles fonctions comporte la mise en sécurité ?|Alerte des secours publics|Rappel des ascenseurs prioritaires|Compartimentage|Désenfumage|Aucune des réponses précédentes</v>
      </c>
      <c r="D139" t="str" cm="1">
        <f t="array" ref="D139:I139">_xlfn.TEXTSPLIT(C139,"|")</f>
        <v>En I.G.H, quelles fonctions comporte la mise en sécurité ?</v>
      </c>
      <c r="E139" t="str">
        <v>Alerte des secours publics</v>
      </c>
      <c r="F139" t="str">
        <v>Rappel des ascenseurs prioritaires</v>
      </c>
      <c r="G139" t="str">
        <v>Compartimentage</v>
      </c>
      <c r="H139" t="str">
        <v>Désenfumage</v>
      </c>
      <c r="I139" t="str">
        <v>Aucune des réponses précédentes</v>
      </c>
    </row>
    <row r="140" spans="1:11" x14ac:dyDescent="0.25">
      <c r="A140" s="14" t="s">
        <v>596</v>
      </c>
      <c r="B140" s="7">
        <f t="shared" si="4"/>
        <v>3</v>
      </c>
      <c r="C140" s="7" t="str">
        <f t="shared" si="5"/>
        <v>Quel est la fonction de l’ECS ou TS ?|De collecter les informations provenant des DAS et de nous informer de leur état|De mettre en sécurité le bâtiment|De collecter les informations provenant des détecteurs et de nous informer de leur état|Aucune des réponses précédentes</v>
      </c>
      <c r="D140" t="str" cm="1">
        <f t="array" ref="D140:H140">_xlfn.TEXTSPLIT(C140,"|")</f>
        <v>Quel est la fonction de l’ECS ou TS ?</v>
      </c>
      <c r="E140" t="str">
        <v>De collecter les informations provenant des DAS et de nous informer de leur état</v>
      </c>
      <c r="F140" t="str">
        <v>De mettre en sécurité le bâtiment</v>
      </c>
      <c r="G140" t="str">
        <v>De collecter les informations provenant des détecteurs et de nous informer de leur état</v>
      </c>
      <c r="H140" t="str">
        <v>Aucune des réponses précédentes</v>
      </c>
    </row>
    <row r="141" spans="1:11" x14ac:dyDescent="0.25">
      <c r="A141" s="14" t="s">
        <v>597</v>
      </c>
      <c r="B141" s="7">
        <f t="shared" si="4"/>
        <v>3</v>
      </c>
      <c r="C141" s="7" t="str">
        <f t="shared" si="5"/>
        <v>Quels sont les éléments composant un SMSI ?|Un SDI|Un ou plusieurs DAS|Un ou plusieurs DM|Un CMSI|Un ou plusieurs DAI|Aucune des réponses précédentes</v>
      </c>
      <c r="D141" t="str" cm="1">
        <f t="array" ref="D141:J141">_xlfn.TEXTSPLIT(C141,"|")</f>
        <v>Quels sont les éléments composant un SMSI ?</v>
      </c>
      <c r="E141" t="str">
        <v>Un SDI</v>
      </c>
      <c r="F141" t="str">
        <v>Un ou plusieurs DAS</v>
      </c>
      <c r="G141" t="str">
        <v>Un ou plusieurs DM</v>
      </c>
      <c r="H141" t="str">
        <v>Un CMSI</v>
      </c>
      <c r="I141" t="str">
        <v>Un ou plusieurs DAI</v>
      </c>
      <c r="J141" t="str">
        <v>Aucune des réponses précédentes</v>
      </c>
    </row>
    <row r="142" spans="1:11" x14ac:dyDescent="0.25">
      <c r="A142" s="14" t="s">
        <v>598</v>
      </c>
      <c r="B142" s="7">
        <f t="shared" si="4"/>
        <v>3</v>
      </c>
      <c r="C142" s="7" t="str">
        <f t="shared" si="5"/>
        <v>Quels éléments peuvent entrer dans la composition d’un SMSI ?|Un SDI|Un CMSI|Des DAS|Une AES|Aucune des réponses</v>
      </c>
      <c r="D142" t="str" cm="1">
        <f t="array" ref="D142:I142">_xlfn.TEXTSPLIT(C142,"|")</f>
        <v>Quels éléments peuvent entrer dans la composition d’un SMSI ?</v>
      </c>
      <c r="E142" t="str">
        <v>Un SDI</v>
      </c>
      <c r="F142" t="str">
        <v>Un CMSI</v>
      </c>
      <c r="G142" t="str">
        <v>Des DAS</v>
      </c>
      <c r="H142" t="str">
        <v>Une AES</v>
      </c>
      <c r="I142" t="str">
        <v>Aucune des réponses</v>
      </c>
    </row>
    <row r="143" spans="1:11" x14ac:dyDescent="0.25">
      <c r="A143" s="14" t="s">
        <v>599</v>
      </c>
      <c r="B143" s="7">
        <f t="shared" si="4"/>
        <v>3</v>
      </c>
      <c r="C143" s="7" t="str">
        <f t="shared" si="5"/>
        <v>Qu’est-ce qu’une U.A.E ?|Une Unité d’Aide à l’Entraînement|Une Unité d’Assistance à l’Exploitation|Une Unité Assistée d’Évacuation|Une Unité d’Aide à l’Exploitation|Aucune des réponses précédentes</v>
      </c>
      <c r="D143" t="str" cm="1">
        <f t="array" ref="D143:I143">_xlfn.TEXTSPLIT(C143,"|")</f>
        <v>Qu’est-ce qu’une U.A.E ?</v>
      </c>
      <c r="E143" t="str">
        <v>Une Unité d’Aide à l’Entraînement</v>
      </c>
      <c r="F143" t="str">
        <v>Une Unité d’Assistance à l’Exploitation</v>
      </c>
      <c r="G143" t="str">
        <v>Une Unité Assistée d’Évacuation</v>
      </c>
      <c r="H143" t="str">
        <v>Une Unité d’Aide à l’Exploitation</v>
      </c>
      <c r="I143" t="str">
        <v>Aucune des réponses précédentes</v>
      </c>
    </row>
    <row r="144" spans="1:11" x14ac:dyDescent="0.25">
      <c r="A144" s="14" t="s">
        <v>600</v>
      </c>
      <c r="B144" s="7">
        <f t="shared" si="4"/>
        <v>3</v>
      </c>
      <c r="C144" s="7" t="str">
        <f t="shared" si="5"/>
        <v>Quels sont les DAS qui participent à la fonction de désenfumage ?|Les volets de désenfumage|Les clapets coupe-feu|Les exutoires|Les diffuseurs sonores|Les ouvrants en façade|Les portes coupe-feu|Aucune des réponses précédentes</v>
      </c>
      <c r="D144" t="str" cm="1">
        <f t="array" ref="D144:K144">_xlfn.TEXTSPLIT(C144,"|")</f>
        <v>Quels sont les DAS qui participent à la fonction de désenfumage ?</v>
      </c>
      <c r="E144" t="str">
        <v>Les volets de désenfumage</v>
      </c>
      <c r="F144" t="str">
        <v>Les clapets coupe-feu</v>
      </c>
      <c r="G144" t="str">
        <v>Les exutoires</v>
      </c>
      <c r="H144" t="str">
        <v>Les diffuseurs sonores</v>
      </c>
      <c r="I144" t="str">
        <v>Les ouvrants en façade</v>
      </c>
      <c r="J144" t="str">
        <v>Les portes coupe-feu</v>
      </c>
      <c r="K144" t="str">
        <v>Aucune des réponses précédentes</v>
      </c>
    </row>
    <row r="145" spans="1:11" x14ac:dyDescent="0.25">
      <c r="A145" s="14" t="s">
        <v>601</v>
      </c>
      <c r="B145" s="7">
        <f t="shared" si="4"/>
        <v>3</v>
      </c>
      <c r="C145" s="7" t="str">
        <f t="shared" si="5"/>
        <v>Qu’est-ce que l’alarme restreinte ?|Un signal direct au centre d’incendie et de secours|Un signal d’évacuation qui prévient les occupants|Un appel téléphonique au chef d’établissement|Un dispositif de communication entre les agents de sécurité|Aucune des réponses précédentes</v>
      </c>
      <c r="D145" t="str" cm="1">
        <f t="array" ref="D145:I145">_xlfn.TEXTSPLIT(C145,"|")</f>
        <v>Qu’est-ce que l’alarme restreinte ?</v>
      </c>
      <c r="E145" t="str">
        <v>Un signal direct au centre d’incendie et de secours</v>
      </c>
      <c r="F145" t="str">
        <v>Un signal d’évacuation qui prévient les occupants</v>
      </c>
      <c r="G145" t="str">
        <v>Un appel téléphonique au chef d’établissement</v>
      </c>
      <c r="H145" t="str">
        <v>Un dispositif de communication entre les agents de sécurité</v>
      </c>
      <c r="I145" t="str">
        <v>Aucune des réponses précédentes</v>
      </c>
    </row>
    <row r="146" spans="1:11" x14ac:dyDescent="0.25">
      <c r="A146" s="14" t="s">
        <v>602</v>
      </c>
      <c r="B146" s="7">
        <f t="shared" si="4"/>
        <v>3</v>
      </c>
      <c r="C146" s="7" t="str">
        <f t="shared" si="5"/>
        <v>En ERP, on trouve des D.M dans un S.S.I de catégorie :|A|B|C|D|Aucune des réponses précédentes</v>
      </c>
      <c r="D146" t="str" cm="1">
        <f t="array" ref="D146:I146">_xlfn.TEXTSPLIT(C146,"|")</f>
        <v>En ERP, on trouve des D.M dans un S.S.I de catégorie :</v>
      </c>
      <c r="E146" t="str">
        <v>A</v>
      </c>
      <c r="F146" t="str">
        <v>B</v>
      </c>
      <c r="G146" t="str">
        <v>C</v>
      </c>
      <c r="H146" t="str">
        <v>D</v>
      </c>
      <c r="I146" t="str">
        <v>Aucune des réponses précédentes</v>
      </c>
    </row>
    <row r="147" spans="1:11" x14ac:dyDescent="0.25">
      <c r="A147" s="14" t="s">
        <v>603</v>
      </c>
      <c r="B147" s="7">
        <f t="shared" si="4"/>
        <v>3</v>
      </c>
      <c r="C147" s="7" t="str">
        <f t="shared" si="5"/>
        <v>Quel est le niveau d’accès pour effectuer un réarmement sur le SSI ?|Niveau d’accès 0|Niveau d’accès 1|Niveau d’accès 2|Niveau d’accès 3|Niveau d’accès 4|Niveau d’accès 5|Aucune des réponses précédentes</v>
      </c>
      <c r="D147" t="str" cm="1">
        <f t="array" ref="D147:K147">_xlfn.TEXTSPLIT(C147,"|")</f>
        <v>Quel est le niveau d’accès pour effectuer un réarmement sur le SSI ?</v>
      </c>
      <c r="E147" t="str">
        <v>Niveau d’accès 0</v>
      </c>
      <c r="F147" t="str">
        <v>Niveau d’accès 1</v>
      </c>
      <c r="G147" t="str">
        <v>Niveau d’accès 2</v>
      </c>
      <c r="H147" t="str">
        <v>Niveau d’accès 3</v>
      </c>
      <c r="I147" t="str">
        <v>Niveau d’accès 4</v>
      </c>
      <c r="J147" t="str">
        <v>Niveau d’accès 5</v>
      </c>
      <c r="K147" t="str">
        <v>Aucune des réponses précédentes</v>
      </c>
    </row>
    <row r="148" spans="1:11" x14ac:dyDescent="0.25">
      <c r="A148" s="14" t="s">
        <v>604</v>
      </c>
      <c r="B148" s="7">
        <f t="shared" si="4"/>
        <v>3</v>
      </c>
      <c r="C148" s="7" t="str">
        <f t="shared" si="5"/>
        <v>Lors de la mise en route de la fonction désenfumage quels DAS seront sollicités ?|Les volets d’amenée d’air et d’extraction des fumées|Les clapets de ventilation ou de climatisation|La fermeture des portes C.F|Le non-stop des ascenseurs dans la zone concernée|Les coffrets de relayage|Aucune des réponses précédentes</v>
      </c>
      <c r="D148" t="str" cm="1">
        <f t="array" ref="D148:J148">_xlfn.TEXTSPLIT(C148,"|")</f>
        <v>Lors de la mise en route de la fonction désenfumage quels DAS seront sollicités ?</v>
      </c>
      <c r="E148" t="str">
        <v>Les volets d’amenée d’air et d’extraction des fumées</v>
      </c>
      <c r="F148" t="str">
        <v>Les clapets de ventilation ou de climatisation</v>
      </c>
      <c r="G148" t="str">
        <v>La fermeture des portes C.F</v>
      </c>
      <c r="H148" t="str">
        <v>Le non-stop des ascenseurs dans la zone concernée</v>
      </c>
      <c r="I148" t="str">
        <v>Les coffrets de relayage</v>
      </c>
      <c r="J148" t="str">
        <v>Aucune des réponses précédentes</v>
      </c>
    </row>
    <row r="149" spans="1:11" x14ac:dyDescent="0.25">
      <c r="A149" s="14" t="s">
        <v>605</v>
      </c>
      <c r="B149" s="7">
        <f t="shared" si="4"/>
        <v>3</v>
      </c>
      <c r="C149" s="7" t="str">
        <f t="shared" si="5"/>
        <v>À quoi sert une U.C.M.C ?|Centraliser les informations de la détection|Commander depuis le C.M.S.I les dispositifs actionnés de sécurité|Gérer les issues de secours|Visualiser les détections|Aucune des réponses précédentes</v>
      </c>
      <c r="D149" t="str" cm="1">
        <f t="array" ref="D149:I149">_xlfn.TEXTSPLIT(C149,"|")</f>
        <v>À quoi sert une U.C.M.C ?</v>
      </c>
      <c r="E149" t="str">
        <v>Centraliser les informations de la détection</v>
      </c>
      <c r="F149" t="str">
        <v>Commander depuis le C.M.S.I les dispositifs actionnés de sécurité</v>
      </c>
      <c r="G149" t="str">
        <v>Gérer les issues de secours</v>
      </c>
      <c r="H149" t="str">
        <v>Visualiser les détections</v>
      </c>
      <c r="I149" t="str">
        <v>Aucune des réponses précédentes</v>
      </c>
    </row>
    <row r="150" spans="1:11" x14ac:dyDescent="0.25">
      <c r="A150" s="14" t="s">
        <v>606</v>
      </c>
      <c r="B150" s="7">
        <f t="shared" si="4"/>
        <v>3</v>
      </c>
      <c r="C150" s="7" t="str">
        <f t="shared" si="5"/>
        <v>Dans quelles catégories de S.S.I trouve-t-on un C.M.S.I ?|Catégorie A|Catégorie B|Catégorie C|Catégorie D|Catégorie E|Aucune des réponses précédentes</v>
      </c>
      <c r="D150" t="str" cm="1">
        <f t="array" ref="D150:J150">_xlfn.TEXTSPLIT(C150,"|")</f>
        <v>Dans quelles catégories de S.S.I trouve-t-on un C.M.S.I ?</v>
      </c>
      <c r="E150" t="str">
        <v>Catégorie A</v>
      </c>
      <c r="F150" t="str">
        <v>Catégorie B</v>
      </c>
      <c r="G150" t="str">
        <v>Catégorie C</v>
      </c>
      <c r="H150" t="str">
        <v>Catégorie D</v>
      </c>
      <c r="I150" t="str">
        <v>Catégorie E</v>
      </c>
      <c r="J150" t="str">
        <v>Aucune des réponses précédentes</v>
      </c>
    </row>
    <row r="151" spans="1:11" ht="25.5" x14ac:dyDescent="0.25">
      <c r="A151" s="12" t="s">
        <v>607</v>
      </c>
      <c r="B151" s="7" t="e">
        <f t="shared" si="4"/>
        <v>#VALUE!</v>
      </c>
      <c r="C151" s="7" t="e">
        <f t="shared" si="5"/>
        <v>#VALUE!</v>
      </c>
      <c r="D151" t="e" cm="1">
        <f t="array" ref="D151">_xlfn.TEXTSPLIT(C151,"|")</f>
        <v>#VALUE!</v>
      </c>
    </row>
    <row r="152" spans="1:11" ht="20.25" x14ac:dyDescent="0.25">
      <c r="A152" s="13" t="s">
        <v>608</v>
      </c>
      <c r="B152" s="7" t="e">
        <f t="shared" si="4"/>
        <v>#VALUE!</v>
      </c>
      <c r="C152" s="7" t="e">
        <f t="shared" si="5"/>
        <v>#VALUE!</v>
      </c>
      <c r="D152" t="e" cm="1">
        <f t="array" ref="D152">_xlfn.TEXTSPLIT(C152,"|")</f>
        <v>#VALUE!</v>
      </c>
    </row>
    <row r="153" spans="1:11" x14ac:dyDescent="0.25">
      <c r="A153" s="14" t="s">
        <v>609</v>
      </c>
      <c r="B153" s="7">
        <f t="shared" si="4"/>
        <v>2</v>
      </c>
      <c r="C153" s="7" t="str">
        <f t="shared" si="5"/>
        <v>Sauf dispositions particulières, quand un service de sécurité est imposé avec des agents de sécurité incendie, il est composé au minimum de :|3 agents dont 1 chef d’équipe|3 agents et 1 chef d’équipe|2 agents dont 1 chef d’équipe|1 agent et 1 chef d’équipe|Aucune des réponses précédentes</v>
      </c>
      <c r="D153" t="str" cm="1">
        <f t="array" ref="D153:I153">_xlfn.TEXTSPLIT(C153,"|")</f>
        <v>Sauf dispositions particulières, quand un service de sécurité est imposé avec des agents de sécurité incendie, il est composé au minimum de :</v>
      </c>
      <c r="E153" t="str">
        <v>3 agents dont 1 chef d’équipe</v>
      </c>
      <c r="F153" t="str">
        <v>3 agents et 1 chef d’équipe</v>
      </c>
      <c r="G153" t="str">
        <v>2 agents dont 1 chef d’équipe</v>
      </c>
      <c r="H153" t="str">
        <v>1 agent et 1 chef d’équipe</v>
      </c>
      <c r="I153" t="str">
        <v>Aucune des réponses précédentes</v>
      </c>
    </row>
    <row r="154" spans="1:11" x14ac:dyDescent="0.25">
      <c r="A154" s="14" t="s">
        <v>610</v>
      </c>
      <c r="B154" s="7">
        <f t="shared" si="4"/>
        <v>2</v>
      </c>
      <c r="C154" s="7" t="str">
        <f t="shared" si="5"/>
        <v>Indiquer dans quel(s) cas, un service de sécurité incendie est constitué obligatoirement avec des agents SSIAP :|Dans tout type d’ERP|Dans tout IGH|Seulement s’il y a des locaux à sommeil|Seulement la nuit|Uniquement pendant la présence du public|Aucune des réponses précédentes</v>
      </c>
      <c r="D154" t="str" cm="1">
        <f t="array" ref="D154:J154">_xlfn.TEXTSPLIT(C154,"|")</f>
        <v>Indiquer dans quel(s) cas, un service de sécurité incendie est constitué obligatoirement avec des agents SSIAP :</v>
      </c>
      <c r="E154" t="str">
        <v>Dans tout type d’ERP</v>
      </c>
      <c r="F154" t="str">
        <v>Dans tout IGH</v>
      </c>
      <c r="G154" t="str">
        <v>Seulement s’il y a des locaux à sommeil</v>
      </c>
      <c r="H154" t="str">
        <v>Seulement la nuit</v>
      </c>
      <c r="I154" t="str">
        <v>Uniquement pendant la présence du public</v>
      </c>
      <c r="J154" t="str">
        <v>Aucune des réponses précédentes</v>
      </c>
    </row>
    <row r="155" spans="1:11" x14ac:dyDescent="0.25">
      <c r="A155" s="14" t="s">
        <v>611</v>
      </c>
      <c r="B155" s="7">
        <f t="shared" si="4"/>
        <v>2</v>
      </c>
      <c r="C155" s="7" t="str">
        <f t="shared" si="5"/>
        <v>En qualité d’agent de sécurité incendie, pouvez-vous utiliser une nacelle de nettoyage ?|Oui|Non|Oui, sur ordre du chef de service de sécurité incendie|Oui, pour aider les ouvriers|Aucune des réponses précédentes</v>
      </c>
      <c r="D155" t="str" cm="1">
        <f t="array" ref="D155:I155">_xlfn.TEXTSPLIT(C155,"|")</f>
        <v>En qualité d’agent de sécurité incendie, pouvez-vous utiliser une nacelle de nettoyage ?</v>
      </c>
      <c r="E155" t="str">
        <v>Oui</v>
      </c>
      <c r="F155" t="str">
        <v>Non</v>
      </c>
      <c r="G155" t="str">
        <v>Oui, sur ordre du chef de service de sécurité incendie</v>
      </c>
      <c r="H155" t="str">
        <v>Oui, pour aider les ouvriers</v>
      </c>
      <c r="I155" t="str">
        <v>Aucune des réponses précédentes</v>
      </c>
    </row>
    <row r="156" spans="1:11" x14ac:dyDescent="0.25">
      <c r="A156" s="14" t="s">
        <v>612</v>
      </c>
      <c r="B156" s="7">
        <f t="shared" si="4"/>
        <v>2</v>
      </c>
      <c r="C156" s="7" t="str">
        <f t="shared" si="5"/>
        <v>Quelles sont les missions spécifiques du service de sécurité incendie ?|L’assistance à personne au sein des établissements où ils exercent|L’exploitation du contrôle d’accès|Le filtrage des visiteurs|La prévention des incendies|Aucune des réponses précédentes</v>
      </c>
      <c r="D156" t="str" cm="1">
        <f t="array" ref="D156:I156">_xlfn.TEXTSPLIT(C156,"|")</f>
        <v>Quelles sont les missions spécifiques du service de sécurité incendie ?</v>
      </c>
      <c r="E156" t="str">
        <v>L’assistance à personne au sein des établissements où ils exercent</v>
      </c>
      <c r="F156" t="str">
        <v>L’exploitation du contrôle d’accès</v>
      </c>
      <c r="G156" t="str">
        <v>Le filtrage des visiteurs</v>
      </c>
      <c r="H156" t="str">
        <v>La prévention des incendies</v>
      </c>
      <c r="I156" t="str">
        <v>Aucune des réponses précédentes</v>
      </c>
    </row>
    <row r="157" spans="1:11" x14ac:dyDescent="0.25">
      <c r="A157" s="14" t="s">
        <v>613</v>
      </c>
      <c r="B157" s="7">
        <f t="shared" si="4"/>
        <v>2</v>
      </c>
      <c r="C157" s="7" t="str">
        <f t="shared" si="5"/>
        <v>Indiquer les informations que l’on trouve dans l’Arrêté relatif au SSIAP :|Les missions des SSIAP|La rémunération des SSIAP|Le niveau de qualification des SSIAP|La formation des agents de sûreté|L’emploi des SSIAP|Aucune des réponses précédentes</v>
      </c>
      <c r="D157" t="str" cm="1">
        <f t="array" ref="D157:J157">_xlfn.TEXTSPLIT(C157,"|")</f>
        <v>Indiquer les informations que l’on trouve dans l’Arrêté relatif au SSIAP :</v>
      </c>
      <c r="E157" t="str">
        <v>Les missions des SSIAP</v>
      </c>
      <c r="F157" t="str">
        <v>La rémunération des SSIAP</v>
      </c>
      <c r="G157" t="str">
        <v>Le niveau de qualification des SSIAP</v>
      </c>
      <c r="H157" t="str">
        <v>La formation des agents de sûreté</v>
      </c>
      <c r="I157" t="str">
        <v>L’emploi des SSIAP</v>
      </c>
      <c r="J157" t="str">
        <v>Aucune des réponses précédentes</v>
      </c>
    </row>
    <row r="158" spans="1:11" ht="20.25" x14ac:dyDescent="0.25">
      <c r="A158" s="13" t="s">
        <v>614</v>
      </c>
      <c r="B158" s="7" t="e">
        <f t="shared" si="4"/>
        <v>#VALUE!</v>
      </c>
      <c r="C158" s="7" t="e">
        <f t="shared" si="5"/>
        <v>#VALUE!</v>
      </c>
      <c r="D158" t="e" cm="1">
        <f t="array" ref="D158">_xlfn.TEXTSPLIT(C158,"|")</f>
        <v>#VALUE!</v>
      </c>
    </row>
    <row r="159" spans="1:11" x14ac:dyDescent="0.25">
      <c r="A159" s="14" t="s">
        <v>615</v>
      </c>
      <c r="B159" s="7">
        <f t="shared" si="4"/>
        <v>2</v>
      </c>
      <c r="C159" s="7" t="str">
        <f t="shared" si="5"/>
        <v>Les consignes générales sont destinées :|Au public et au personnel|Uniquement aux agents SSIAP|À une catégorie de personnes déterminée|Aucune des réponses précédentes</v>
      </c>
      <c r="D159" t="str" cm="1">
        <f t="array" ref="D159:H159">_xlfn.TEXTSPLIT(C159,"|")</f>
        <v>Les consignes générales sont destinées :</v>
      </c>
      <c r="E159" t="str">
        <v>Au public et au personnel</v>
      </c>
      <c r="F159" t="str">
        <v>Uniquement aux agents SSIAP</v>
      </c>
      <c r="G159" t="str">
        <v>À une catégorie de personnes déterminée</v>
      </c>
      <c r="H159" t="str">
        <v>Aucune des réponses précédentes</v>
      </c>
    </row>
    <row r="160" spans="1:11" x14ac:dyDescent="0.25">
      <c r="A160" s="14" t="s">
        <v>616</v>
      </c>
      <c r="B160" s="7">
        <f t="shared" si="4"/>
        <v>2</v>
      </c>
      <c r="C160" s="7" t="str">
        <f t="shared" si="5"/>
        <v>Les consignes particulières sont destinées :|Au public et au personnel|Uniquement aux agents SSIAP|À une catégorie de personnes déterminée|Aucune des réponses précédentes</v>
      </c>
      <c r="D160" t="str" cm="1">
        <f t="array" ref="D160:H160">_xlfn.TEXTSPLIT(C160,"|")</f>
        <v>Les consignes particulières sont destinées :</v>
      </c>
      <c r="E160" t="str">
        <v>Au public et au personnel</v>
      </c>
      <c r="F160" t="str">
        <v>Uniquement aux agents SSIAP</v>
      </c>
      <c r="G160" t="str">
        <v>À une catégorie de personnes déterminée</v>
      </c>
      <c r="H160" t="str">
        <v>Aucune des réponses précédentes</v>
      </c>
    </row>
    <row r="161" spans="1:10" x14ac:dyDescent="0.25">
      <c r="A161" s="14" t="s">
        <v>617</v>
      </c>
      <c r="B161" s="7">
        <f t="shared" si="4"/>
        <v>2</v>
      </c>
      <c r="C161" s="7" t="str">
        <f t="shared" si="5"/>
        <v>La main courante :|Est tenue par le chef du service de sécurité incendie|Est un document dans lequel doivent apparaître tous les événements liés à la sécurité|Doit être obligatoirement sur papier|Est un registre hebdomadaire des anomalies|Doit être remplie par un agent chargé de la sécurité et signée à chaque fin de service|Aucune des réponses précédentes</v>
      </c>
      <c r="D161" t="str" cm="1">
        <f t="array" ref="D161:J161">_xlfn.TEXTSPLIT(C161,"|")</f>
        <v>La main courante :</v>
      </c>
      <c r="E161" t="str">
        <v>Est tenue par le chef du service de sécurité incendie</v>
      </c>
      <c r="F161" t="str">
        <v>Est un document dans lequel doivent apparaître tous les événements liés à la sécurité</v>
      </c>
      <c r="G161" t="str">
        <v>Doit être obligatoirement sur papier</v>
      </c>
      <c r="H161" t="str">
        <v>Est un registre hebdomadaire des anomalies</v>
      </c>
      <c r="I161" t="str">
        <v>Doit être remplie par un agent chargé de la sécurité et signée à chaque fin de service</v>
      </c>
      <c r="J161" t="str">
        <v>Aucune des réponses précédentes</v>
      </c>
    </row>
    <row r="162" spans="1:10" x14ac:dyDescent="0.25">
      <c r="A162" s="14" t="s">
        <v>618</v>
      </c>
      <c r="B162" s="7">
        <f t="shared" si="4"/>
        <v>2</v>
      </c>
      <c r="C162" s="7" t="str">
        <f t="shared" si="5"/>
        <v>Sur la main courante je note :|Les événements liés à la sécurité|La prise et la fin de service|Les interventions du personnel de sécurité|Les messages téléphoniques pour le personnel du service|Aucune des réponses précédentes</v>
      </c>
      <c r="D162" t="str" cm="1">
        <f t="array" ref="D162:I162">_xlfn.TEXTSPLIT(C162,"|")</f>
        <v>Sur la main courante je note :</v>
      </c>
      <c r="E162" t="str">
        <v>Les événements liés à la sécurité</v>
      </c>
      <c r="F162" t="str">
        <v>La prise et la fin de service</v>
      </c>
      <c r="G162" t="str">
        <v>Les interventions du personnel de sécurité</v>
      </c>
      <c r="H162" t="str">
        <v>Les messages téléphoniques pour le personnel du service</v>
      </c>
      <c r="I162" t="str">
        <v>Aucune des réponses précédentes</v>
      </c>
    </row>
    <row r="163" spans="1:10" ht="20.25" x14ac:dyDescent="0.25">
      <c r="A163" s="13" t="s">
        <v>619</v>
      </c>
      <c r="B163" s="7" t="e">
        <f t="shared" ref="B163:B224" si="6">FIND(". ",A163)</f>
        <v>#VALUE!</v>
      </c>
      <c r="C163" s="7" t="e">
        <f t="shared" ref="C163:C224" si="7">RIGHT(A163, LEN(A163)-(B163+1))</f>
        <v>#VALUE!</v>
      </c>
      <c r="D163" t="e" cm="1">
        <f t="array" ref="D163">_xlfn.TEXTSPLIT(C163,"|")</f>
        <v>#VALUE!</v>
      </c>
    </row>
    <row r="164" spans="1:10" x14ac:dyDescent="0.25">
      <c r="A164" s="14" t="s">
        <v>620</v>
      </c>
      <c r="B164" s="7">
        <f t="shared" si="6"/>
        <v>2</v>
      </c>
      <c r="C164" s="7" t="str">
        <f t="shared" si="7"/>
        <v>Qui assure la permanence au poste de sécurité ?|L’agent de sécurité incendie SSIAP 1|Le chef d’équipe sécurité incendie SSIAP 2|Le directeur du site|Tout le personnel de l’établissement|Aucune des réponses précédentes</v>
      </c>
      <c r="D164" t="str" cm="1">
        <f t="array" ref="D164:I164">_xlfn.TEXTSPLIT(C164,"|")</f>
        <v>Qui assure la permanence au poste de sécurité ?</v>
      </c>
      <c r="E164" t="str">
        <v>L’agent de sécurité incendie SSIAP 1</v>
      </c>
      <c r="F164" t="str">
        <v>Le chef d’équipe sécurité incendie SSIAP 2</v>
      </c>
      <c r="G164" t="str">
        <v>Le directeur du site</v>
      </c>
      <c r="H164" t="str">
        <v>Tout le personnel de l’établissement</v>
      </c>
      <c r="I164" t="str">
        <v>Aucune des réponses précédentes</v>
      </c>
    </row>
    <row r="165" spans="1:10" x14ac:dyDescent="0.25">
      <c r="A165" s="14" t="s">
        <v>621</v>
      </c>
      <c r="B165" s="7">
        <f t="shared" si="6"/>
        <v>2</v>
      </c>
      <c r="C165" s="7" t="str">
        <f t="shared" si="7"/>
        <v>Indiquer ce que l’on doit trouver au PCS :|Un coin repas|La vidéosurveillance|Les émetteurs récepteurs portatifs|Le SSI|Les clefs ou badges pour accéder à tous les locaux|Aucune des réponses précédentes</v>
      </c>
      <c r="D165" t="str" cm="1">
        <f t="array" ref="D165:J165">_xlfn.TEXTSPLIT(C165,"|")</f>
        <v>Indiquer ce que l’on doit trouver au PCS :</v>
      </c>
      <c r="E165" t="str">
        <v>Un coin repas</v>
      </c>
      <c r="F165" t="str">
        <v>La vidéosurveillance</v>
      </c>
      <c r="G165" t="str">
        <v>Les émetteurs récepteurs portatifs</v>
      </c>
      <c r="H165" t="str">
        <v>Le SSI</v>
      </c>
      <c r="I165" t="str">
        <v>Les clefs ou badges pour accéder à tous les locaux</v>
      </c>
      <c r="J165" t="str">
        <v>Aucune des réponses précédentes</v>
      </c>
    </row>
    <row r="166" spans="1:10" x14ac:dyDescent="0.25">
      <c r="A166" s="14" t="s">
        <v>622</v>
      </c>
      <c r="B166" s="7">
        <f t="shared" si="6"/>
        <v>2</v>
      </c>
      <c r="C166" s="7" t="str">
        <f t="shared" si="7"/>
        <v>Quels documents trouve-t-on obligatoirement au P.C Sécurité ?|Le registre des entrées et sorties du personnel|Les différents plans de l’établissement|Les consignes générales d’incendie|Les consignes particulières de sécurité|Les numéros d’appel d’urgence|Aucune des réponses précédentes</v>
      </c>
      <c r="D166" t="str" cm="1">
        <f t="array" ref="D166:J166">_xlfn.TEXTSPLIT(C166,"|")</f>
        <v>Quels documents trouve-t-on obligatoirement au P.C Sécurité ?</v>
      </c>
      <c r="E166" t="str">
        <v>Le registre des entrées et sorties du personnel</v>
      </c>
      <c r="F166" t="str">
        <v>Les différents plans de l’établissement</v>
      </c>
      <c r="G166" t="str">
        <v>Les consignes générales d’incendie</v>
      </c>
      <c r="H166" t="str">
        <v>Les consignes particulières de sécurité</v>
      </c>
      <c r="I166" t="str">
        <v>Les numéros d’appel d’urgence</v>
      </c>
      <c r="J166" t="str">
        <v>Aucune des réponses précédentes</v>
      </c>
    </row>
    <row r="167" spans="1:10" ht="20.25" x14ac:dyDescent="0.25">
      <c r="A167" s="13" t="s">
        <v>623</v>
      </c>
      <c r="B167" s="7" t="e">
        <f t="shared" si="6"/>
        <v>#VALUE!</v>
      </c>
      <c r="C167" s="7" t="e">
        <f t="shared" si="7"/>
        <v>#VALUE!</v>
      </c>
      <c r="D167" t="e" cm="1">
        <f t="array" ref="D167">_xlfn.TEXTSPLIT(C167,"|")</f>
        <v>#VALUE!</v>
      </c>
    </row>
    <row r="168" spans="1:10" x14ac:dyDescent="0.25">
      <c r="A168" s="14" t="s">
        <v>624</v>
      </c>
      <c r="B168" s="7">
        <f t="shared" si="6"/>
        <v>2</v>
      </c>
      <c r="C168" s="7" t="str">
        <f t="shared" si="7"/>
        <v>Quels sont les buts de la ronde de sécurité ?|Surveiller les points dangereux|Détecter les faits anormaux ou les dangers|Prévenir les occupants de la fermeture de l’établissement|Vérifier l’application des consignes de sécurité|Aucune des réponses précédentes</v>
      </c>
      <c r="D168" t="str" cm="1">
        <f t="array" ref="D168:I168">_xlfn.TEXTSPLIT(C168,"|")</f>
        <v>Quels sont les buts de la ronde de sécurité ?</v>
      </c>
      <c r="E168" t="str">
        <v>Surveiller les points dangereux</v>
      </c>
      <c r="F168" t="str">
        <v>Détecter les faits anormaux ou les dangers</v>
      </c>
      <c r="G168" t="str">
        <v>Prévenir les occupants de la fermeture de l’établissement</v>
      </c>
      <c r="H168" t="str">
        <v>Vérifier l’application des consignes de sécurité</v>
      </c>
      <c r="I168" t="str">
        <v>Aucune des réponses précédentes</v>
      </c>
    </row>
    <row r="169" spans="1:10" x14ac:dyDescent="0.25">
      <c r="A169" s="14" t="s">
        <v>625</v>
      </c>
      <c r="B169" s="7">
        <f t="shared" si="6"/>
        <v>2</v>
      </c>
      <c r="C169" s="7" t="str">
        <f t="shared" si="7"/>
        <v>Lors d’une ronde d’ouverture quelle est l’action primordiale à effectuer ?|Mettre en fonction l’éclairage de remplacement|Mettre en fonction l’éclairage de sécurité|S’assurer de la vacuité des dégagements|Contrôler la pression des R.I.A|Aucune des réponses précédentes</v>
      </c>
      <c r="D169" t="str" cm="1">
        <f t="array" ref="D169:I169">_xlfn.TEXTSPLIT(C169,"|")</f>
        <v>Lors d’une ronde d’ouverture quelle est l’action primordiale à effectuer ?</v>
      </c>
      <c r="E169" t="str">
        <v>Mettre en fonction l’éclairage de remplacement</v>
      </c>
      <c r="F169" t="str">
        <v>Mettre en fonction l’éclairage de sécurité</v>
      </c>
      <c r="G169" t="str">
        <v>S’assurer de la vacuité des dégagements</v>
      </c>
      <c r="H169" t="str">
        <v>Contrôler la pression des R.I.A</v>
      </c>
      <c r="I169" t="str">
        <v>Aucune des réponses précédentes</v>
      </c>
    </row>
    <row r="170" spans="1:10" x14ac:dyDescent="0.25">
      <c r="A170" s="14" t="s">
        <v>626</v>
      </c>
      <c r="B170" s="7">
        <f t="shared" si="6"/>
        <v>2</v>
      </c>
      <c r="C170" s="7" t="str">
        <f t="shared" si="7"/>
        <v>Indiquer le ou les permis que l’on doit posséder pour effectuer des travaux de soudure :|Permis de soudure|Permis de travail|Permis de fouille|Permis de feu|Permis d’incendie|Aucune des réponses précédentes</v>
      </c>
      <c r="D170" t="str" cm="1">
        <f t="array" ref="D170:J170">_xlfn.TEXTSPLIT(C170,"|")</f>
        <v>Indiquer le ou les permis que l’on doit posséder pour effectuer des travaux de soudure :</v>
      </c>
      <c r="E170" t="str">
        <v>Permis de soudure</v>
      </c>
      <c r="F170" t="str">
        <v>Permis de travail</v>
      </c>
      <c r="G170" t="str">
        <v>Permis de fouille</v>
      </c>
      <c r="H170" t="str">
        <v>Permis de feu</v>
      </c>
      <c r="I170" t="str">
        <v>Permis d’incendie</v>
      </c>
      <c r="J170" t="str">
        <v>Aucune des réponses précédentes</v>
      </c>
    </row>
    <row r="171" spans="1:10" x14ac:dyDescent="0.25">
      <c r="A171" s="14" t="s">
        <v>627</v>
      </c>
      <c r="B171" s="7">
        <f t="shared" si="6"/>
        <v>2</v>
      </c>
      <c r="C171" s="7" t="str">
        <f t="shared" si="7"/>
        <v>Dans quel cas doit-on rédiger un permis de feu dans un établissement recevant du public ?|Lors de l’utilisation d’un transpalette à gaz dans un local|À l’occasion de travaux par points chauds|À la mise en place d’une zone fumeur|Lors de la mise en fonction d’une chaudière à gaz|Aucune des réponses précédentes</v>
      </c>
      <c r="D171" t="str" cm="1">
        <f t="array" ref="D171:I171">_xlfn.TEXTSPLIT(C171,"|")</f>
        <v>Dans quel cas doit-on rédiger un permis de feu dans un établissement recevant du public ?</v>
      </c>
      <c r="E171" t="str">
        <v>Lors de l’utilisation d’un transpalette à gaz dans un local</v>
      </c>
      <c r="F171" t="str">
        <v>À l’occasion de travaux par points chauds</v>
      </c>
      <c r="G171" t="str">
        <v>À la mise en place d’une zone fumeur</v>
      </c>
      <c r="H171" t="str">
        <v>Lors de la mise en fonction d’une chaudière à gaz</v>
      </c>
      <c r="I171" t="str">
        <v>Aucune des réponses précédentes</v>
      </c>
    </row>
    <row r="172" spans="1:10" ht="20.25" x14ac:dyDescent="0.25">
      <c r="A172" s="13" t="s">
        <v>628</v>
      </c>
      <c r="B172" s="7" t="e">
        <f t="shared" si="6"/>
        <v>#VALUE!</v>
      </c>
      <c r="C172" s="7" t="e">
        <f t="shared" si="7"/>
        <v>#VALUE!</v>
      </c>
      <c r="D172" t="e" cm="1">
        <f t="array" ref="D172">_xlfn.TEXTSPLIT(C172,"|")</f>
        <v>#VALUE!</v>
      </c>
    </row>
    <row r="173" spans="1:10" x14ac:dyDescent="0.25">
      <c r="A173" s="14" t="s">
        <v>629</v>
      </c>
      <c r="B173" s="7">
        <f t="shared" si="6"/>
        <v>2</v>
      </c>
      <c r="C173" s="7" t="str">
        <f t="shared" si="7"/>
        <v>Quels sont les modes d’action des agents extincteurs ?|L’étouffement|Le refroidissement|La conduction|L’inhibition|Le réchauffement|Aucune des réponses précédentes</v>
      </c>
      <c r="D173" t="str" cm="1">
        <f t="array" ref="D173:J173">_xlfn.TEXTSPLIT(C173,"|")</f>
        <v>Quels sont les modes d’action des agents extincteurs ?</v>
      </c>
      <c r="E173" t="str">
        <v>L’étouffement</v>
      </c>
      <c r="F173" t="str">
        <v>Le refroidissement</v>
      </c>
      <c r="G173" t="str">
        <v>La conduction</v>
      </c>
      <c r="H173" t="str">
        <v>L’inhibition</v>
      </c>
      <c r="I173" t="str">
        <v>Le réchauffement</v>
      </c>
      <c r="J173" t="str">
        <v>Aucune des réponses précédentes</v>
      </c>
    </row>
    <row r="174" spans="1:10" x14ac:dyDescent="0.25">
      <c r="A174" s="14" t="s">
        <v>630</v>
      </c>
      <c r="B174" s="7">
        <f t="shared" si="6"/>
        <v>2</v>
      </c>
      <c r="C174" s="7" t="str">
        <f t="shared" si="7"/>
        <v>Quelles sont les opérations de surveillance à réaliser sur une installation de RIA ?|Vérifier l’absence d’eau dans le tuyau du RIA|Contrôler le bon fonctionnement du robinet d’arrêt manuel|S’assurer que le coffret dans lequel se trouve le RIA est fermé à clé|S’assurer que le RIA est en eau|Aucune des réponses précédentes</v>
      </c>
      <c r="D174" t="str" cm="1">
        <f t="array" ref="D174:I174">_xlfn.TEXTSPLIT(C174,"|")</f>
        <v>Quelles sont les opérations de surveillance à réaliser sur une installation de RIA ?</v>
      </c>
      <c r="E174" t="str">
        <v>Vérifier l’absence d’eau dans le tuyau du RIA</v>
      </c>
      <c r="F174" t="str">
        <v>Contrôler le bon fonctionnement du robinet d’arrêt manuel</v>
      </c>
      <c r="G174" t="str">
        <v>S’assurer que le coffret dans lequel se trouve le RIA est fermé à clé</v>
      </c>
      <c r="H174" t="str">
        <v>S’assurer que le RIA est en eau</v>
      </c>
      <c r="I174" t="str">
        <v>Aucune des réponses précédentes</v>
      </c>
    </row>
    <row r="175" spans="1:10" x14ac:dyDescent="0.25">
      <c r="A175" s="14" t="s">
        <v>631</v>
      </c>
      <c r="B175" s="7">
        <f t="shared" si="6"/>
        <v>2</v>
      </c>
      <c r="C175" s="7" t="str">
        <f t="shared" si="7"/>
        <v>Qui peut utiliser les RIA dans un ERP ou un IGH ?|Le chef d’établissement|Les agents SSIAP|Le personnel|Le public|Les pompiers|Aucune des réponses précédentes</v>
      </c>
      <c r="D175" t="str" cm="1">
        <f t="array" ref="D175:J175">_xlfn.TEXTSPLIT(C175,"|")</f>
        <v>Qui peut utiliser les RIA dans un ERP ou un IGH ?</v>
      </c>
      <c r="E175" t="str">
        <v>Le chef d’établissement</v>
      </c>
      <c r="F175" t="str">
        <v>Les agents SSIAP</v>
      </c>
      <c r="G175" t="str">
        <v>Le personnel</v>
      </c>
      <c r="H175" t="str">
        <v>Le public</v>
      </c>
      <c r="I175" t="str">
        <v>Les pompiers</v>
      </c>
      <c r="J175" t="str">
        <v>Aucune des réponses précédentes</v>
      </c>
    </row>
    <row r="176" spans="1:10" x14ac:dyDescent="0.25">
      <c r="A176" s="14" t="s">
        <v>632</v>
      </c>
      <c r="B176" s="7">
        <f t="shared" si="6"/>
        <v>2</v>
      </c>
      <c r="C176" s="7" t="str">
        <f t="shared" si="7"/>
        <v>Parmi ces propositions, quel type d’extincteur doit-on utiliser en priorité sur un feu de tableau électrique ?|Extincteur à eau pulvérisée|Extincteur à CO2|Extincteur à poudre|Extincteur au halon|Aucune des réponses précédentes</v>
      </c>
      <c r="D176" t="str" cm="1">
        <f t="array" ref="D176:I176">_xlfn.TEXTSPLIT(C176,"|")</f>
        <v>Parmi ces propositions, quel type d’extincteur doit-on utiliser en priorité sur un feu de tableau électrique ?</v>
      </c>
      <c r="E176" t="str">
        <v>Extincteur à eau pulvérisée</v>
      </c>
      <c r="F176" t="str">
        <v>Extincteur à CO2</v>
      </c>
      <c r="G176" t="str">
        <v>Extincteur à poudre</v>
      </c>
      <c r="H176" t="str">
        <v>Extincteur au halon</v>
      </c>
      <c r="I176" t="str">
        <v>Aucune des réponses précédentes</v>
      </c>
    </row>
    <row r="177" spans="1:11" x14ac:dyDescent="0.25">
      <c r="A177" s="14" t="s">
        <v>633</v>
      </c>
      <c r="B177" s="7">
        <f t="shared" si="6"/>
        <v>2</v>
      </c>
      <c r="C177" s="7" t="str">
        <f t="shared" si="7"/>
        <v>Pour utiliser un extincteur à pression permanente vous devez :|Le percuter|Le coucher|Le dégoupiller|Appuyer sur la poignée de diffusion|Vérifier que le diffuseur est bien en place|Aucune des réponses précédentes</v>
      </c>
      <c r="D177" t="str" cm="1">
        <f t="array" ref="D177:J177">_xlfn.TEXTSPLIT(C177,"|")</f>
        <v>Pour utiliser un extincteur à pression permanente vous devez :</v>
      </c>
      <c r="E177" t="str">
        <v>Le percuter</v>
      </c>
      <c r="F177" t="str">
        <v>Le coucher</v>
      </c>
      <c r="G177" t="str">
        <v>Le dégoupiller</v>
      </c>
      <c r="H177" t="str">
        <v>Appuyer sur la poignée de diffusion</v>
      </c>
      <c r="I177" t="str">
        <v>Vérifier que le diffuseur est bien en place</v>
      </c>
      <c r="J177" t="str">
        <v>Aucune des réponses précédentes</v>
      </c>
    </row>
    <row r="178" spans="1:11" x14ac:dyDescent="0.25">
      <c r="A178" s="14" t="s">
        <v>634</v>
      </c>
      <c r="B178" s="7">
        <f t="shared" si="6"/>
        <v>2</v>
      </c>
      <c r="C178" s="7" t="str">
        <f t="shared" si="7"/>
        <v>Le mode d’extinction d’un feu par étouffement consiste à :|Faire baisser la température|Se rapprocher très près des flammes|Disperser le combustible|Empêcher l’apport d’air|Aucune des réponses précédentes</v>
      </c>
      <c r="D178" t="str" cm="1">
        <f t="array" ref="D178:I178">_xlfn.TEXTSPLIT(C178,"|")</f>
        <v>Le mode d’extinction d’un feu par étouffement consiste à :</v>
      </c>
      <c r="E178" t="str">
        <v>Faire baisser la température</v>
      </c>
      <c r="F178" t="str">
        <v>Se rapprocher très près des flammes</v>
      </c>
      <c r="G178" t="str">
        <v>Disperser le combustible</v>
      </c>
      <c r="H178" t="str">
        <v>Empêcher l’apport d’air</v>
      </c>
      <c r="I178" t="str">
        <v>Aucune des réponses précédentes</v>
      </c>
    </row>
    <row r="179" spans="1:11" x14ac:dyDescent="0.25">
      <c r="A179" s="14" t="s">
        <v>635</v>
      </c>
      <c r="B179" s="7">
        <f t="shared" si="6"/>
        <v>2</v>
      </c>
      <c r="C179" s="7" t="str">
        <f t="shared" si="7"/>
        <v>Quels sont les agents d’extinction contenus dans les extincteurs portatifs ?|L’eau|Le CO2|Le halon|L’azote|La poudre|Aucune des réponses précédentes</v>
      </c>
      <c r="D179" t="str" cm="1">
        <f t="array" ref="D179:J179">_xlfn.TEXTSPLIT(C179,"|")</f>
        <v>Quels sont les agents d’extinction contenus dans les extincteurs portatifs ?</v>
      </c>
      <c r="E179" t="str">
        <v>L’eau</v>
      </c>
      <c r="F179" t="str">
        <v>Le CO2</v>
      </c>
      <c r="G179" t="str">
        <v>Le halon</v>
      </c>
      <c r="H179" t="str">
        <v>L’azote</v>
      </c>
      <c r="I179" t="str">
        <v>La poudre</v>
      </c>
      <c r="J179" t="str">
        <v>Aucune des réponses précédentes</v>
      </c>
    </row>
    <row r="180" spans="1:11" x14ac:dyDescent="0.25">
      <c r="A180" s="14" t="s">
        <v>636</v>
      </c>
      <c r="B180" s="7">
        <f t="shared" si="6"/>
        <v>2</v>
      </c>
      <c r="C180" s="7" t="str">
        <f t="shared" si="7"/>
        <v>Parmi ces propositions, quel type d’extincteur doit-on privilégier sur un feu de matelas ?|Extincteur à eau pulvérisée|Extincteur à poudre|Extincteur à CO2|Extincteur au halon|Aucune des réponses précédentes</v>
      </c>
      <c r="D180" t="str" cm="1">
        <f t="array" ref="D180:I180">_xlfn.TEXTSPLIT(C180,"|")</f>
        <v>Parmi ces propositions, quel type d’extincteur doit-on privilégier sur un feu de matelas ?</v>
      </c>
      <c r="E180" t="str">
        <v>Extincteur à eau pulvérisée</v>
      </c>
      <c r="F180" t="str">
        <v>Extincteur à poudre</v>
      </c>
      <c r="G180" t="str">
        <v>Extincteur à CO2</v>
      </c>
      <c r="H180" t="str">
        <v>Extincteur au halon</v>
      </c>
      <c r="I180" t="str">
        <v>Aucune des réponses précédentes</v>
      </c>
    </row>
    <row r="181" spans="1:11" x14ac:dyDescent="0.25">
      <c r="A181" s="14" t="s">
        <v>637</v>
      </c>
      <c r="B181" s="7">
        <f t="shared" si="6"/>
        <v>2</v>
      </c>
      <c r="C181" s="7" t="str">
        <f t="shared" si="7"/>
        <v>Un extincteur CO2 est un extincteur à pression :|Permanente|Auxiliaire|Variable|Atmosphérique|Aucune des réponses précédentes</v>
      </c>
      <c r="D181" t="str" cm="1">
        <f t="array" ref="D181:I181">_xlfn.TEXTSPLIT(C181,"|")</f>
        <v>Un extincteur CO2 est un extincteur à pression :</v>
      </c>
      <c r="E181" t="str">
        <v>Permanente</v>
      </c>
      <c r="F181" t="str">
        <v>Auxiliaire</v>
      </c>
      <c r="G181" t="str">
        <v>Variable</v>
      </c>
      <c r="H181" t="str">
        <v>Atmosphérique</v>
      </c>
      <c r="I181" t="str">
        <v>Aucune des réponses précédentes</v>
      </c>
    </row>
    <row r="182" spans="1:11" x14ac:dyDescent="0.25">
      <c r="A182" s="14" t="s">
        <v>638</v>
      </c>
      <c r="B182" s="7">
        <f t="shared" si="6"/>
        <v>3</v>
      </c>
      <c r="C182" s="7" t="str">
        <f t="shared" si="7"/>
        <v>Pour éteindre un feu dans une armoire électrique, l’agent extincteur le plus efficace est :|L’eau|L’eau avec additif|Le carbone|L’azote|Le dioxyde de carbone|Le sable|Aucune des réponses précédentes</v>
      </c>
      <c r="D182" t="str" cm="1">
        <f t="array" ref="D182:K182">_xlfn.TEXTSPLIT(C182,"|")</f>
        <v>Pour éteindre un feu dans une armoire électrique, l’agent extincteur le plus efficace est :</v>
      </c>
      <c r="E182" t="str">
        <v>L’eau</v>
      </c>
      <c r="F182" t="str">
        <v>L’eau avec additif</v>
      </c>
      <c r="G182" t="str">
        <v>Le carbone</v>
      </c>
      <c r="H182" t="str">
        <v>L’azote</v>
      </c>
      <c r="I182" t="str">
        <v>Le dioxyde de carbone</v>
      </c>
      <c r="J182" t="str">
        <v>Le sable</v>
      </c>
      <c r="K182" t="str">
        <v>Aucune des réponses précédentes</v>
      </c>
    </row>
    <row r="183" spans="1:11" x14ac:dyDescent="0.25">
      <c r="A183" s="14" t="s">
        <v>639</v>
      </c>
      <c r="B183" s="7">
        <f t="shared" si="6"/>
        <v>3</v>
      </c>
      <c r="C183" s="7" t="str">
        <f t="shared" si="7"/>
        <v>Pour utiliser un extincteur à pression auxiliaire vous devez :|Le percuter|Le coucher|Le dégoupiller|Appuyer sur la poignée de diffusion|Vérifier que le diffuseur est bien en place|Aucune des réponses précédentes</v>
      </c>
      <c r="D183" t="str" cm="1">
        <f t="array" ref="D183:J183">_xlfn.TEXTSPLIT(C183,"|")</f>
        <v>Pour utiliser un extincteur à pression auxiliaire vous devez :</v>
      </c>
      <c r="E183" t="str">
        <v>Le percuter</v>
      </c>
      <c r="F183" t="str">
        <v>Le coucher</v>
      </c>
      <c r="G183" t="str">
        <v>Le dégoupiller</v>
      </c>
      <c r="H183" t="str">
        <v>Appuyer sur la poignée de diffusion</v>
      </c>
      <c r="I183" t="str">
        <v>Vérifier que le diffuseur est bien en place</v>
      </c>
      <c r="J183" t="str">
        <v>Aucune des réponses précédentes</v>
      </c>
    </row>
    <row r="184" spans="1:11" x14ac:dyDescent="0.25">
      <c r="A184" s="14" t="s">
        <v>640</v>
      </c>
      <c r="B184" s="7">
        <f t="shared" si="6"/>
        <v>3</v>
      </c>
      <c r="C184" s="7" t="str">
        <f t="shared" si="7"/>
        <v>Combien existe-t-il de principes de fonctionnement des extincteurs portatifs ?|1 principe|2 principes|3 principes|4 principes|Aucune des réponses précédentes</v>
      </c>
      <c r="D184" t="str" cm="1">
        <f t="array" ref="D184:I184">_xlfn.TEXTSPLIT(C184,"|")</f>
        <v>Combien existe-t-il de principes de fonctionnement des extincteurs portatifs ?</v>
      </c>
      <c r="E184" t="str">
        <v>1 principe</v>
      </c>
      <c r="F184" t="str">
        <v>2 principes</v>
      </c>
      <c r="G184" t="str">
        <v>3 principes</v>
      </c>
      <c r="H184" t="str">
        <v>4 principes</v>
      </c>
      <c r="I184" t="str">
        <v>Aucune des réponses précédentes</v>
      </c>
    </row>
    <row r="185" spans="1:11" x14ac:dyDescent="0.25">
      <c r="A185" s="14" t="s">
        <v>641</v>
      </c>
      <c r="B185" s="7">
        <f t="shared" si="6"/>
        <v>3</v>
      </c>
      <c r="C185" s="7" t="str">
        <f t="shared" si="7"/>
        <v>Peut-on mettre en œuvre un extincteur à eau pulvérisée sur une armoire électrique de 380V ?|OUI|NON|Aucune des réponses précédentes</v>
      </c>
      <c r="D185" t="str" cm="1">
        <f t="array" ref="D185:G185">_xlfn.TEXTSPLIT(C185,"|")</f>
        <v>Peut-on mettre en œuvre un extincteur à eau pulvérisée sur une armoire électrique de 380V ?</v>
      </c>
      <c r="E185" t="str">
        <v>OUI</v>
      </c>
      <c r="F185" t="str">
        <v>NON</v>
      </c>
      <c r="G185" t="str">
        <v>Aucune des réponses précédentes</v>
      </c>
    </row>
    <row r="186" spans="1:11" x14ac:dyDescent="0.25">
      <c r="A186" s="14" t="s">
        <v>642</v>
      </c>
      <c r="B186" s="7">
        <f t="shared" si="6"/>
        <v>3</v>
      </c>
      <c r="C186" s="7" t="str">
        <f t="shared" si="7"/>
        <v>Parmi ces propositions, quel type d’extincteur doit-on privilégier sur un feu de matelas ?|Extincteur à eau pulvérisée|Extincteur à poudre|Extincteur à CO2|Extincteur au halon|Aucune des réponses précédentes</v>
      </c>
      <c r="D186" t="str" cm="1">
        <f t="array" ref="D186:I186">_xlfn.TEXTSPLIT(C186,"|")</f>
        <v>Parmi ces propositions, quel type d’extincteur doit-on privilégier sur un feu de matelas ?</v>
      </c>
      <c r="E186" t="str">
        <v>Extincteur à eau pulvérisée</v>
      </c>
      <c r="F186" t="str">
        <v>Extincteur à poudre</v>
      </c>
      <c r="G186" t="str">
        <v>Extincteur à CO2</v>
      </c>
      <c r="H186" t="str">
        <v>Extincteur au halon</v>
      </c>
      <c r="I186" t="str">
        <v>Aucune des réponses précédentes</v>
      </c>
    </row>
    <row r="187" spans="1:11" ht="20.25" x14ac:dyDescent="0.25">
      <c r="A187" s="13" t="s">
        <v>643</v>
      </c>
      <c r="B187" s="7" t="e">
        <f t="shared" si="6"/>
        <v>#VALUE!</v>
      </c>
      <c r="C187" s="7" t="e">
        <f t="shared" si="7"/>
        <v>#VALUE!</v>
      </c>
      <c r="D187" t="e" cm="1">
        <f t="array" ref="D187">_xlfn.TEXTSPLIT(C187,"|")</f>
        <v>#VALUE!</v>
      </c>
    </row>
    <row r="188" spans="1:11" x14ac:dyDescent="0.25">
      <c r="A188" s="14" t="s">
        <v>644</v>
      </c>
      <c r="B188" s="7">
        <f t="shared" si="6"/>
        <v>2</v>
      </c>
      <c r="C188" s="7" t="str">
        <f t="shared" si="7"/>
        <v>Suite à une évacuation, vous constatez l’absence d’une personne. Que faites-vous ?|Je ne fais rien|Je préviens le commandant des opérations de secours|Je pars à sa recherche|J’attends son arrivée|Je préviens mon chef d’équipe|Aucune des réponses précédentes</v>
      </c>
      <c r="D188" t="str" cm="1">
        <f t="array" ref="D188:J188">_xlfn.TEXTSPLIT(C188,"|")</f>
        <v>Suite à une évacuation, vous constatez l’absence d’une personne. Que faites-vous ?</v>
      </c>
      <c r="E188" t="str">
        <v>Je ne fais rien</v>
      </c>
      <c r="F188" t="str">
        <v>Je préviens le commandant des opérations de secours</v>
      </c>
      <c r="G188" t="str">
        <v>Je pars à sa recherche</v>
      </c>
      <c r="H188" t="str">
        <v>J’attends son arrivée</v>
      </c>
      <c r="I188" t="str">
        <v>Je préviens mon chef d’équipe</v>
      </c>
      <c r="J188" t="str">
        <v>Aucune des réponses précédentes</v>
      </c>
    </row>
    <row r="189" spans="1:11" x14ac:dyDescent="0.25">
      <c r="A189" s="14" t="s">
        <v>645</v>
      </c>
      <c r="B189" s="7">
        <f t="shared" si="6"/>
        <v>2</v>
      </c>
      <c r="C189" s="7" t="str">
        <f t="shared" si="7"/>
        <v>En cours de ronde vous sentez une odeur suspecte. Vous :|Effectuez la levée de doute|Poursuivez votre ronde|Prévenez votre PC Sécurité|Prévenez les pompiers|Aucune des réponses précédentes</v>
      </c>
      <c r="D189" t="str" cm="1">
        <f t="array" ref="D189:I189">_xlfn.TEXTSPLIT(C189,"|")</f>
        <v>En cours de ronde vous sentez une odeur suspecte. Vous :</v>
      </c>
      <c r="E189" t="str">
        <v>Effectuez la levée de doute</v>
      </c>
      <c r="F189" t="str">
        <v>Poursuivez votre ronde</v>
      </c>
      <c r="G189" t="str">
        <v>Prévenez votre PC Sécurité</v>
      </c>
      <c r="H189" t="str">
        <v>Prévenez les pompiers</v>
      </c>
      <c r="I189" t="str">
        <v>Aucune des réponses précédentes</v>
      </c>
    </row>
    <row r="190" spans="1:11" x14ac:dyDescent="0.25">
      <c r="A190" s="14" t="s">
        <v>646</v>
      </c>
      <c r="B190" s="7">
        <f t="shared" si="6"/>
        <v>2</v>
      </c>
      <c r="C190" s="7" t="str">
        <f t="shared" si="7"/>
        <v>Lors d’une ronde, vous apercevez de la fumée s’échappant d’un local technique. Que faites-vous ?|Vous regagnez le poste de sécurité pour prévenir votre chef d’équipe|Vous vous approchez et ouvrez la porte pour connaître l’étendue du sinistre|Vous saisissez un moyen d’extinction et vous ouvrez prudemment le local|Vous contactez le poste de sécurité pour prévenir de la situation découverte|Aucune des réponses précédentes</v>
      </c>
      <c r="D190" t="str" cm="1">
        <f t="array" ref="D190:I190">_xlfn.TEXTSPLIT(C190,"|")</f>
        <v>Lors d’une ronde, vous apercevez de la fumée s’échappant d’un local technique. Que faites-vous ?</v>
      </c>
      <c r="E190" t="str">
        <v>Vous regagnez le poste de sécurité pour prévenir votre chef d’équipe</v>
      </c>
      <c r="F190" t="str">
        <v>Vous vous approchez et ouvrez la porte pour connaître l’étendue du sinistre</v>
      </c>
      <c r="G190" t="str">
        <v>Vous saisissez un moyen d’extinction et vous ouvrez prudemment le local</v>
      </c>
      <c r="H190" t="str">
        <v>Vous contactez le poste de sécurité pour prévenir de la situation découverte</v>
      </c>
      <c r="I190" t="str">
        <v>Aucune des réponses précédentes</v>
      </c>
    </row>
    <row r="191" spans="1:11" x14ac:dyDescent="0.25">
      <c r="A191" s="14" t="s">
        <v>647</v>
      </c>
      <c r="B191" s="7">
        <f t="shared" si="6"/>
        <v>2</v>
      </c>
      <c r="C191" s="7" t="str">
        <f t="shared" si="7"/>
        <v>Lors d’une levée de doute que faites-vous en premier si vous constatez qu’il y a effectivement le feu dans le local ?|J’entre en me protégeant|Je confirme l’alarme|J’arrose la porte|Je commence l’extinction|Aucune des réponses précédentes</v>
      </c>
      <c r="D191" t="str" cm="1">
        <f t="array" ref="D191:I191">_xlfn.TEXTSPLIT(C191,"|")</f>
        <v>Lors d’une levée de doute que faites-vous en premier si vous constatez qu’il y a effectivement le feu dans le local ?</v>
      </c>
      <c r="E191" t="str">
        <v>J’entre en me protégeant</v>
      </c>
      <c r="F191" t="str">
        <v>Je confirme l’alarme</v>
      </c>
      <c r="G191" t="str">
        <v>J’arrose la porte</v>
      </c>
      <c r="H191" t="str">
        <v>Je commence l’extinction</v>
      </c>
      <c r="I191" t="str">
        <v>Aucune des réponses précédentes</v>
      </c>
    </row>
    <row r="192" spans="1:11" x14ac:dyDescent="0.25">
      <c r="A192" s="14" t="s">
        <v>648</v>
      </c>
      <c r="B192" s="7">
        <f t="shared" si="6"/>
        <v>2</v>
      </c>
      <c r="C192" s="7" t="str">
        <f t="shared" si="7"/>
        <v>En cours de ronde vous découvrez un début d’incendie dans le local T.G.B.T. Que faites-vous ?|Je vais au PC sécurité attendre les secours|J’informe le PC sécurité par radio|Je vais accueillir les secours publics à l’accès pompier|Je tente l’extinction en prenant les précautions d’usage|Je rassemble le personnel pour leur demander des renforts|Aucune des réponses précédentes</v>
      </c>
      <c r="D192" t="str" cm="1">
        <f t="array" ref="D192:J192">_xlfn.TEXTSPLIT(C192,"|")</f>
        <v>En cours de ronde vous découvrez un début d’incendie dans le local T.G.B.T. Que faites-vous ?</v>
      </c>
      <c r="E192" t="str">
        <v>Je vais au PC sécurité attendre les secours</v>
      </c>
      <c r="F192" t="str">
        <v>J’informe le PC sécurité par radio</v>
      </c>
      <c r="G192" t="str">
        <v>Je vais accueillir les secours publics à l’accès pompier</v>
      </c>
      <c r="H192" t="str">
        <v>Je tente l’extinction en prenant les précautions d’usage</v>
      </c>
      <c r="I192" t="str">
        <v>Je rassemble le personnel pour leur demander des renforts</v>
      </c>
      <c r="J192" t="str">
        <v>Aucune des réponses précédentes</v>
      </c>
    </row>
    <row r="193" spans="1:11" x14ac:dyDescent="0.25">
      <c r="A193" s="14" t="s">
        <v>649</v>
      </c>
      <c r="B193" s="7">
        <f t="shared" si="6"/>
        <v>2</v>
      </c>
      <c r="C193" s="7" t="str">
        <f t="shared" si="7"/>
        <v>Lors d’une ronde, vous découvrez un début d’incendie dans un local. Que faites-vous en premier ?|J’ouvre la porte sans prendre de précautions particulières|Je préviens le P.C.S|Je préviens les pompiers|Je préviens mon chef de service de sécurité|Je fais évacuer l’établissement par précaution|Aucune des réponses précédentes</v>
      </c>
      <c r="D193" t="str" cm="1">
        <f t="array" ref="D193:J193">_xlfn.TEXTSPLIT(C193,"|")</f>
        <v>Lors d’une ronde, vous découvrez un début d’incendie dans un local. Que faites-vous en premier ?</v>
      </c>
      <c r="E193" t="str">
        <v>J’ouvre la porte sans prendre de précautions particulières</v>
      </c>
      <c r="F193" t="str">
        <v>Je préviens le P.C.S</v>
      </c>
      <c r="G193" t="str">
        <v>Je préviens les pompiers</v>
      </c>
      <c r="H193" t="str">
        <v>Je préviens mon chef de service de sécurité</v>
      </c>
      <c r="I193" t="str">
        <v>Je fais évacuer l’établissement par précaution</v>
      </c>
      <c r="J193" t="str">
        <v>Aucune des réponses précédentes</v>
      </c>
    </row>
    <row r="194" spans="1:11" x14ac:dyDescent="0.25">
      <c r="A194" s="14" t="s">
        <v>650</v>
      </c>
      <c r="B194" s="7">
        <f t="shared" si="6"/>
        <v>2</v>
      </c>
      <c r="C194" s="7" t="str">
        <f t="shared" si="7"/>
        <v>Lors d’une ronde, on soupçonne un début d’incendie dans un local. Que faites-vous ?|J’ouvre la porte sans prendre de précautions particulières|Je ne mène aucune action car c’est dangereux|Je préviens seulement les pompiers|Je préviens seulement le chef du service de sécurité|Je fais évacuer l’établissement par précaution|Aucune des réponses précédentes</v>
      </c>
      <c r="D194" t="str" cm="1">
        <f t="array" ref="D194:J194">_xlfn.TEXTSPLIT(C194,"|")</f>
        <v>Lors d’une ronde, on soupçonne un début d’incendie dans un local. Que faites-vous ?</v>
      </c>
      <c r="E194" t="str">
        <v>J’ouvre la porte sans prendre de précautions particulières</v>
      </c>
      <c r="F194" t="str">
        <v>Je ne mène aucune action car c’est dangereux</v>
      </c>
      <c r="G194" t="str">
        <v>Je préviens seulement les pompiers</v>
      </c>
      <c r="H194" t="str">
        <v>Je préviens seulement le chef du service de sécurité</v>
      </c>
      <c r="I194" t="str">
        <v>Je fais évacuer l’établissement par précaution</v>
      </c>
      <c r="J194" t="str">
        <v>Aucune des réponses précédentes</v>
      </c>
    </row>
    <row r="195" spans="1:11" ht="25.5" x14ac:dyDescent="0.25">
      <c r="A195" s="12" t="s">
        <v>651</v>
      </c>
      <c r="B195" s="7" t="e">
        <f t="shared" si="6"/>
        <v>#VALUE!</v>
      </c>
      <c r="C195" s="7" t="e">
        <f t="shared" si="7"/>
        <v>#VALUE!</v>
      </c>
      <c r="D195" t="e" cm="1">
        <f t="array" ref="D195">_xlfn.TEXTSPLIT(C195,"|")</f>
        <v>#VALUE!</v>
      </c>
    </row>
    <row r="196" spans="1:11" x14ac:dyDescent="0.25">
      <c r="A196" s="14" t="s">
        <v>652</v>
      </c>
      <c r="B196" s="7">
        <f t="shared" si="6"/>
        <v>2</v>
      </c>
      <c r="C196" s="7" t="str">
        <f t="shared" si="7"/>
        <v>Dans les IGH comment est assurée la communication entre deux compartiments sur un même niveau ?|Par un dispositif d'ouverture asservi à la D.A.I|Par un dispositif d'ouverture automatique|Par un dispositif d'intercommunication mis en surpression|Par un dispositif de contrôle d'accès|Aucune des réponses précédentes</v>
      </c>
      <c r="D196" t="str" cm="1">
        <f t="array" ref="D196:I196">_xlfn.TEXTSPLIT(C196,"|")</f>
        <v>Dans les IGH comment est assurée la communication entre deux compartiments sur un même niveau ?</v>
      </c>
      <c r="E196" t="str">
        <v>Par un dispositif d'ouverture asservi à la D.A.I</v>
      </c>
      <c r="F196" t="str">
        <v>Par un dispositif d'ouverture automatique</v>
      </c>
      <c r="G196" t="str">
        <v>Par un dispositif d'intercommunication mis en surpression</v>
      </c>
      <c r="H196" t="str">
        <v>Par un dispositif de contrôle d'accès</v>
      </c>
      <c r="I196" t="str">
        <v>Aucune des réponses précédentes</v>
      </c>
    </row>
    <row r="197" spans="1:11" x14ac:dyDescent="0.25">
      <c r="A197" s="14" t="s">
        <v>653</v>
      </c>
      <c r="B197" s="7">
        <f t="shared" si="6"/>
        <v>2</v>
      </c>
      <c r="C197" s="7" t="str">
        <f t="shared" si="7"/>
        <v>La stabilité au feu d'un I.G.H est, au minimum de:|1 heure|2 heures|4 heures|6 heures|Aucune des réponses précédentes</v>
      </c>
      <c r="D197" t="str" cm="1">
        <f t="array" ref="D197:I197">_xlfn.TEXTSPLIT(C197,"|")</f>
        <v>La stabilité au feu d'un I.G.H est, au minimum de:</v>
      </c>
      <c r="E197" t="str">
        <v>1 heure</v>
      </c>
      <c r="F197" t="str">
        <v>2 heures</v>
      </c>
      <c r="G197" t="str">
        <v>4 heures</v>
      </c>
      <c r="H197" t="str">
        <v>6 heures</v>
      </c>
      <c r="I197" t="str">
        <v>Aucune des réponses précédentes</v>
      </c>
    </row>
    <row r="198" spans="1:11" x14ac:dyDescent="0.25">
      <c r="A198" s="14" t="s">
        <v>654</v>
      </c>
      <c r="B198" s="7">
        <f t="shared" si="6"/>
        <v>2</v>
      </c>
      <c r="C198" s="7" t="str">
        <f t="shared" si="7"/>
        <v>Quel est le règlement de sécurité incendie applicable aux I.G.H ?|L'arrêté du 08 mai 1968 modifié|L'arrêté du 19 octobre 1955 modifié|L'arrêté du 25 juin 1980 modifié|L'arrêté du 06 octobre 1962 modifié|L'arrêté du 30 décembre 2011|Aucune des réponses précédentes</v>
      </c>
      <c r="D198" t="str" cm="1">
        <f t="array" ref="D198:J198">_xlfn.TEXTSPLIT(C198,"|")</f>
        <v>Quel est le règlement de sécurité incendie applicable aux I.G.H ?</v>
      </c>
      <c r="E198" t="str">
        <v>L'arrêté du 08 mai 1968 modifié</v>
      </c>
      <c r="F198" t="str">
        <v>L'arrêté du 19 octobre 1955 modifié</v>
      </c>
      <c r="G198" t="str">
        <v>L'arrêté du 25 juin 1980 modifié</v>
      </c>
      <c r="H198" t="str">
        <v>L'arrêté du 06 octobre 1962 modifié</v>
      </c>
      <c r="I198" t="str">
        <v>L'arrêté du 30 décembre 2011</v>
      </c>
      <c r="J198" t="str">
        <v>Aucune des réponses précédentes</v>
      </c>
    </row>
    <row r="199" spans="1:11" x14ac:dyDescent="0.25">
      <c r="A199" s="14" t="s">
        <v>655</v>
      </c>
      <c r="B199" s="7">
        <f t="shared" si="6"/>
        <v>2</v>
      </c>
      <c r="C199" s="7" t="str">
        <f t="shared" si="7"/>
        <v>Quels sont les différents types d'éclairage susceptibles d'exister dans un E.R.P|Eclairage normal|Eclairage de confort|Eclairage de remplacement|Eclairage de sécurité|Aucune des réponses précédentes</v>
      </c>
      <c r="D199" t="str" cm="1">
        <f t="array" ref="D199:I199">_xlfn.TEXTSPLIT(C199,"|")</f>
        <v>Quels sont les différents types d'éclairage susceptibles d'exister dans un E.R.P</v>
      </c>
      <c r="E199" t="str">
        <v>Eclairage normal</v>
      </c>
      <c r="F199" t="str">
        <v>Eclairage de confort</v>
      </c>
      <c r="G199" t="str">
        <v>Eclairage de remplacement</v>
      </c>
      <c r="H199" t="str">
        <v>Eclairage de sécurité</v>
      </c>
      <c r="I199" t="str">
        <v>Aucune des réponses précédentes</v>
      </c>
    </row>
    <row r="200" spans="1:11" x14ac:dyDescent="0.25">
      <c r="A200" s="14" t="s">
        <v>656</v>
      </c>
      <c r="B200" s="7">
        <f t="shared" si="6"/>
        <v>2</v>
      </c>
      <c r="C200" s="7" t="str">
        <f t="shared" si="7"/>
        <v>Font partie des moyens de secours (au sens des articles MS):|Les extincteurs|Le SSI|Les poteaux d'incendie.|Le désenfumage|L'éclairage de sécurité|Aucune des réponses précédentes</v>
      </c>
      <c r="D200" t="str" cm="1">
        <f t="array" ref="D200:J200">_xlfn.TEXTSPLIT(C200,"|")</f>
        <v>Font partie des moyens de secours (au sens des articles MS):</v>
      </c>
      <c r="E200" t="str">
        <v>Les extincteurs</v>
      </c>
      <c r="F200" t="str">
        <v>Le SSI</v>
      </c>
      <c r="G200" t="str">
        <v>Les poteaux d'incendie.</v>
      </c>
      <c r="H200" t="str">
        <v>Le désenfumage</v>
      </c>
      <c r="I200" t="str">
        <v>L'éclairage de sécurité</v>
      </c>
      <c r="J200" t="str">
        <v>Aucune des réponses précédentes</v>
      </c>
    </row>
    <row r="201" spans="1:11" x14ac:dyDescent="0.25">
      <c r="A201" s="14" t="s">
        <v>657</v>
      </c>
      <c r="B201" s="7">
        <f t="shared" si="6"/>
        <v>2</v>
      </c>
      <c r="C201" s="7" t="str">
        <f t="shared" si="7"/>
        <v>Qui peut utiliser les RIA dans un ERP ou un IGH ?|Le chef d'établissement|Les agents SSIAP|Le personnel|Le public|Les pompiers|Aucune des réponses précédentes</v>
      </c>
      <c r="D201" t="str" cm="1">
        <f t="array" ref="D201:J201">_xlfn.TEXTSPLIT(C201,"|")</f>
        <v>Qui peut utiliser les RIA dans un ERP ou un IGH ?</v>
      </c>
      <c r="E201" t="str">
        <v>Le chef d'établissement</v>
      </c>
      <c r="F201" t="str">
        <v>Les agents SSIAP</v>
      </c>
      <c r="G201" t="str">
        <v>Le personnel</v>
      </c>
      <c r="H201" t="str">
        <v>Le public</v>
      </c>
      <c r="I201" t="str">
        <v>Les pompiers</v>
      </c>
      <c r="J201" t="str">
        <v>Aucune des réponses précédentes</v>
      </c>
    </row>
    <row r="202" spans="1:11" x14ac:dyDescent="0.25">
      <c r="A202" s="14" t="s">
        <v>658</v>
      </c>
      <c r="B202" s="7">
        <f t="shared" si="6"/>
        <v>2</v>
      </c>
      <c r="C202" s="7" t="str">
        <f t="shared" si="7"/>
        <v>Parmi ces propositions, indiquer les missions du service de sécurité incendie.|Assurer la vacuité des cheminements d'évacuation jusqu'à la voie publique|Surveiller l'entretien des espaces verts|Faire appliquer les consignes en cas d'intrusion|Tenir à jour le registre de sécurité|Aucune des réponses précédentes</v>
      </c>
      <c r="D202" t="str" cm="1">
        <f t="array" ref="D202:I202">_xlfn.TEXTSPLIT(C202,"|")</f>
        <v>Parmi ces propositions, indiquer les missions du service de sécurité incendie.</v>
      </c>
      <c r="E202" t="str">
        <v>Assurer la vacuité des cheminements d'évacuation jusqu'à la voie publique</v>
      </c>
      <c r="F202" t="str">
        <v>Surveiller l'entretien des espaces verts</v>
      </c>
      <c r="G202" t="str">
        <v>Faire appliquer les consignes en cas d'intrusion</v>
      </c>
      <c r="H202" t="str">
        <v>Tenir à jour le registre de sécurité</v>
      </c>
      <c r="I202" t="str">
        <v>Aucune des réponses précédentes</v>
      </c>
    </row>
    <row r="203" spans="1:11" x14ac:dyDescent="0.25">
      <c r="A203" s="14" t="s">
        <v>659</v>
      </c>
      <c r="B203" s="7">
        <f t="shared" si="6"/>
        <v>2</v>
      </c>
      <c r="C203" s="7" t="str">
        <f t="shared" si="7"/>
        <v>Quels sont les modes de propagation d'un incendie ?|Le rayonnement|Les projections|La conviction|La conduction|La fragmentation|La convection|Aucune des réponses précédentes</v>
      </c>
      <c r="D203" t="str" cm="1">
        <f t="array" ref="D203:K203">_xlfn.TEXTSPLIT(C203,"|")</f>
        <v>Quels sont les modes de propagation d'un incendie ?</v>
      </c>
      <c r="E203" t="str">
        <v>Le rayonnement</v>
      </c>
      <c r="F203" t="str">
        <v>Les projections</v>
      </c>
      <c r="G203" t="str">
        <v>La conviction</v>
      </c>
      <c r="H203" t="str">
        <v>La conduction</v>
      </c>
      <c r="I203" t="str">
        <v>La fragmentation</v>
      </c>
      <c r="J203" t="str">
        <v>La convection</v>
      </c>
      <c r="K203" t="str">
        <v>Aucune des réponses précédentes</v>
      </c>
    </row>
    <row r="204" spans="1:11" x14ac:dyDescent="0.25">
      <c r="A204" s="14" t="s">
        <v>681</v>
      </c>
      <c r="B204" s="7">
        <f t="shared" si="6"/>
        <v>2</v>
      </c>
      <c r="C204" s="7" t="str">
        <f t="shared" si="7"/>
        <v>Pour qu'un feu soit inhibé, il faut ?|Disperser le combustible|Refroidir le combustible|Arroser les flammes|Utiliser un RIA|Aucune des réponses précédentes</v>
      </c>
      <c r="D204" t="str" cm="1">
        <f t="array" ref="D204:I204">_xlfn.TEXTSPLIT(C204,"|")</f>
        <v>Pour qu'un feu soit inhibé, il faut ?</v>
      </c>
      <c r="E204" t="str">
        <v>Disperser le combustible</v>
      </c>
      <c r="F204" t="str">
        <v>Refroidir le combustible</v>
      </c>
      <c r="G204" t="str">
        <v>Arroser les flammes</v>
      </c>
      <c r="H204" t="str">
        <v>Utiliser un RIA</v>
      </c>
      <c r="I204" t="str">
        <v>Aucune des réponses précédentes</v>
      </c>
    </row>
    <row r="205" spans="1:11" x14ac:dyDescent="0.25">
      <c r="A205" s="14" t="s">
        <v>660</v>
      </c>
      <c r="B205" s="7">
        <f t="shared" si="6"/>
        <v>3</v>
      </c>
      <c r="C205" s="7" t="str">
        <f t="shared" si="7"/>
        <v>Outre la toxicité, les fumées sont susceptibles de provoquer :|L'étouffement du feu|Un effet de panique pour les personnes|Une diminution de la visibilité pour les personnes en cas d'évacuation|Aucune réponse précédente</v>
      </c>
      <c r="D205" t="str" cm="1">
        <f t="array" ref="D205:H205">_xlfn.TEXTSPLIT(C205,"|")</f>
        <v>Outre la toxicité, les fumées sont susceptibles de provoquer :</v>
      </c>
      <c r="E205" t="str">
        <v>L'étouffement du feu</v>
      </c>
      <c r="F205" t="str">
        <v>Un effet de panique pour les personnes</v>
      </c>
      <c r="G205" t="str">
        <v>Une diminution de la visibilité pour les personnes en cas d'évacuation</v>
      </c>
      <c r="H205" t="str">
        <v>Aucune réponse précédente</v>
      </c>
    </row>
    <row r="206" spans="1:11" x14ac:dyDescent="0.25">
      <c r="A206" s="14" t="s">
        <v>661</v>
      </c>
      <c r="B206" s="7">
        <f t="shared" si="6"/>
        <v>3</v>
      </c>
      <c r="C206" s="7" t="str">
        <f t="shared" si="7"/>
        <v>Un exutoire de fumée est:|Un volume fermé servant au passage d'un fluide déterminé|Un volume situé en sous face d'un plancher haut|Un dispositif d'évacuation des fumées situé en toiture|Un dispositif d'évacuation des fumées situé en façade|Aucune des réponses précédentes</v>
      </c>
      <c r="D206" t="str" cm="1">
        <f t="array" ref="D206:I206">_xlfn.TEXTSPLIT(C206,"|")</f>
        <v>Un exutoire de fumée est:</v>
      </c>
      <c r="E206" t="str">
        <v>Un volume fermé servant au passage d'un fluide déterminé</v>
      </c>
      <c r="F206" t="str">
        <v>Un volume situé en sous face d'un plancher haut</v>
      </c>
      <c r="G206" t="str">
        <v>Un dispositif d'évacuation des fumées situé en toiture</v>
      </c>
      <c r="H206" t="str">
        <v>Un dispositif d'évacuation des fumées situé en façade</v>
      </c>
      <c r="I206" t="str">
        <v>Aucune des réponses précédentes</v>
      </c>
    </row>
    <row r="207" spans="1:11" x14ac:dyDescent="0.25">
      <c r="A207" s="14" t="s">
        <v>662</v>
      </c>
      <c r="B207" s="7">
        <f t="shared" si="6"/>
        <v>3</v>
      </c>
      <c r="C207" s="7" t="str">
        <f t="shared" si="7"/>
        <v>Un espace libre est un espace permettant:|Aux véhicules du public de stationner librement|Au public d'accéder librement à l'ERP|Aux pompiers d'accéder à l'établissement|Aux véhicules de livraisons de stationner librement.|Aucune des réponses précédentes</v>
      </c>
      <c r="D207" t="str" cm="1">
        <f t="array" ref="D207:I207">_xlfn.TEXTSPLIT(C207,"|")</f>
        <v>Un espace libre est un espace permettant:</v>
      </c>
      <c r="E207" t="str">
        <v>Aux véhicules du public de stationner librement</v>
      </c>
      <c r="F207" t="str">
        <v>Au public d'accéder librement à l'ERP</v>
      </c>
      <c r="G207" t="str">
        <v>Aux pompiers d'accéder à l'établissement</v>
      </c>
      <c r="H207" t="str">
        <v>Aux véhicules de livraisons de stationner librement.</v>
      </c>
      <c r="I207" t="str">
        <v>Aucune des réponses précédentes</v>
      </c>
    </row>
    <row r="208" spans="1:11" x14ac:dyDescent="0.25">
      <c r="A208" s="14" t="s">
        <v>663</v>
      </c>
      <c r="B208" s="7">
        <f t="shared" si="6"/>
        <v>3</v>
      </c>
      <c r="C208" s="7" t="str">
        <f t="shared" si="7"/>
        <v>Les ERP sont classés par catégorie en fonction:|Du nombre maximum de personnes admises|Du nombre d'étages|Du nombre de locaux|Du nombre de sorties|Aucune des réponses précédentes</v>
      </c>
      <c r="D208" t="str" cm="1">
        <f t="array" ref="D208:I208">_xlfn.TEXTSPLIT(C208,"|")</f>
        <v>Les ERP sont classés par catégorie en fonction:</v>
      </c>
      <c r="E208" t="str">
        <v>Du nombre maximum de personnes admises</v>
      </c>
      <c r="F208" t="str">
        <v>Du nombre d'étages</v>
      </c>
      <c r="G208" t="str">
        <v>Du nombre de locaux</v>
      </c>
      <c r="H208" t="str">
        <v>Du nombre de sorties</v>
      </c>
      <c r="I208" t="str">
        <v>Aucune des réponses précédentes</v>
      </c>
    </row>
    <row r="209" spans="1:10" x14ac:dyDescent="0.25">
      <c r="A209" s="14" t="s">
        <v>664</v>
      </c>
      <c r="B209" s="7">
        <f t="shared" si="6"/>
        <v>3</v>
      </c>
      <c r="C209" s="7" t="str">
        <f t="shared" si="7"/>
        <v>Quel est le principe fondamental de sécurité en IGH ?|L'évacuation générale|Le désenfumage|L'extinction automatique|Le compartimentage|Aucune des réponses précédentes</v>
      </c>
      <c r="D209" t="str" cm="1">
        <f t="array" ref="D209:I209">_xlfn.TEXTSPLIT(C209,"|")</f>
        <v>Quel est le principe fondamental de sécurité en IGH ?</v>
      </c>
      <c r="E209" t="str">
        <v>L'évacuation générale</v>
      </c>
      <c r="F209" t="str">
        <v>Le désenfumage</v>
      </c>
      <c r="G209" t="str">
        <v>L'extinction automatique</v>
      </c>
      <c r="H209" t="str">
        <v>Le compartimentage</v>
      </c>
      <c r="I209" t="str">
        <v>Aucune des réponses précédentes</v>
      </c>
    </row>
    <row r="210" spans="1:10" x14ac:dyDescent="0.25">
      <c r="A210" s="14" t="s">
        <v>665</v>
      </c>
      <c r="B210" s="7">
        <f t="shared" si="6"/>
        <v>3</v>
      </c>
      <c r="C210" s="7" t="str">
        <f t="shared" si="7"/>
        <v>Combien de solutions de désenfumage sont expliquées dans le règlement de sécurité relatif aux IGH ?|1 solution|2 solutions|4 solutions|5 solutions|Aucune des réponses précédentes</v>
      </c>
      <c r="D210" t="str" cm="1">
        <f t="array" ref="D210:I210">_xlfn.TEXTSPLIT(C210,"|")</f>
        <v>Combien de solutions de désenfumage sont expliquées dans le règlement de sécurité relatif aux IGH ?</v>
      </c>
      <c r="E210" t="str">
        <v>1 solution</v>
      </c>
      <c r="F210" t="str">
        <v>2 solutions</v>
      </c>
      <c r="G210" t="str">
        <v>4 solutions</v>
      </c>
      <c r="H210" t="str">
        <v>5 solutions</v>
      </c>
      <c r="I210" t="str">
        <v>Aucune des réponses précédentes</v>
      </c>
    </row>
    <row r="211" spans="1:10" x14ac:dyDescent="0.25">
      <c r="A211" s="14" t="s">
        <v>666</v>
      </c>
      <c r="B211" s="7">
        <f t="shared" si="6"/>
        <v>3</v>
      </c>
      <c r="C211" s="7" t="str">
        <f t="shared" si="7"/>
        <v>Quel est le rôle d'une Installation Fixe d'Extinction Automatique à Gaz?|Extraire les fumées|Éteindre un incendie à un stade précoce de son développement|Maintenir une concentration d'agent extincteur pour éviter une réinflammation|Évacuer au plus vite l'agent extincteur|Protéger des locaux|Aucune des réponses</v>
      </c>
      <c r="D211" t="str" cm="1">
        <f t="array" ref="D211:J211">_xlfn.TEXTSPLIT(C211,"|")</f>
        <v>Quel est le rôle d'une Installation Fixe d'Extinction Automatique à Gaz?</v>
      </c>
      <c r="E211" t="str">
        <v>Extraire les fumées</v>
      </c>
      <c r="F211" t="str">
        <v>Éteindre un incendie à un stade précoce de son développement</v>
      </c>
      <c r="G211" t="str">
        <v>Maintenir une concentration d'agent extincteur pour éviter une réinflammation</v>
      </c>
      <c r="H211" t="str">
        <v>Évacuer au plus vite l'agent extincteur</v>
      </c>
      <c r="I211" t="str">
        <v>Protéger des locaux</v>
      </c>
      <c r="J211" t="str">
        <v>Aucune des réponses</v>
      </c>
    </row>
    <row r="212" spans="1:10" x14ac:dyDescent="0.25">
      <c r="A212" s="14" t="s">
        <v>667</v>
      </c>
      <c r="B212" s="7">
        <f t="shared" si="6"/>
        <v>3</v>
      </c>
      <c r="C212" s="7" t="str">
        <f t="shared" si="7"/>
        <v>Dans quelles catégories de S.S.I trouve-t-on un C.M.S.I ?|Catégorie A|Catégorie B|Catégorie C|Catégorie D|Catégorie E|Aucune des réponses précédentes</v>
      </c>
      <c r="D212" t="str" cm="1">
        <f t="array" ref="D212:J212">_xlfn.TEXTSPLIT(C212,"|")</f>
        <v>Dans quelles catégories de S.S.I trouve-t-on un C.M.S.I ?</v>
      </c>
      <c r="E212" t="str">
        <v>Catégorie A</v>
      </c>
      <c r="F212" t="str">
        <v>Catégorie B</v>
      </c>
      <c r="G212" t="str">
        <v>Catégorie C</v>
      </c>
      <c r="H212" t="str">
        <v>Catégorie D</v>
      </c>
      <c r="I212" t="str">
        <v>Catégorie E</v>
      </c>
      <c r="J212" t="str">
        <v>Aucune des réponses précédentes</v>
      </c>
    </row>
    <row r="213" spans="1:10" x14ac:dyDescent="0.25">
      <c r="A213" s="14" t="s">
        <v>668</v>
      </c>
      <c r="B213" s="7">
        <f t="shared" si="6"/>
        <v>3</v>
      </c>
      <c r="C213" s="7" t="str">
        <f t="shared" si="7"/>
        <v>Indiquer ce que l'on doit inscrire sur la main courante ?|Les alarmes feu|Le nom des agents de sécurité incendie présents|Les départs et retours de ronde|L'heure d'arrivée et de départ du chef d'établissement|La prise et la fin de service|Aucune des réponses précédentes</v>
      </c>
      <c r="D213" t="str" cm="1">
        <f t="array" ref="D213:J213">_xlfn.TEXTSPLIT(C213,"|")</f>
        <v>Indiquer ce que l'on doit inscrire sur la main courante ?</v>
      </c>
      <c r="E213" t="str">
        <v>Les alarmes feu</v>
      </c>
      <c r="F213" t="str">
        <v>Le nom des agents de sécurité incendie présents</v>
      </c>
      <c r="G213" t="str">
        <v>Les départs et retours de ronde</v>
      </c>
      <c r="H213" t="str">
        <v>L'heure d'arrivée et de départ du chef d'établissement</v>
      </c>
      <c r="I213" t="str">
        <v>La prise et la fin de service</v>
      </c>
      <c r="J213" t="str">
        <v>Aucune des réponses précédentes</v>
      </c>
    </row>
    <row r="214" spans="1:10" x14ac:dyDescent="0.25">
      <c r="A214" s="14" t="s">
        <v>669</v>
      </c>
      <c r="B214" s="7">
        <f t="shared" si="6"/>
        <v>3</v>
      </c>
      <c r="C214" s="7" t="str">
        <f t="shared" si="7"/>
        <v>Les secours étant en route, vous constatez que la voie engin est occupée par un véhicule en panne. Que faites-vous en premier ?|Je pars à la recherche du propriétaire|J'informe le P.C Sécurité|Je cherche du renfort pour tenter de pousser le véhicule|Je ne fais rien|J'appelle la police|Aucune des réponses précédentes</v>
      </c>
      <c r="D214" t="str" cm="1">
        <f t="array" ref="D214:J214">_xlfn.TEXTSPLIT(C214,"|")</f>
        <v>Les secours étant en route, vous constatez que la voie engin est occupée par un véhicule en panne. Que faites-vous en premier ?</v>
      </c>
      <c r="E214" t="str">
        <v>Je pars à la recherche du propriétaire</v>
      </c>
      <c r="F214" t="str">
        <v>J'informe le P.C Sécurité</v>
      </c>
      <c r="G214" t="str">
        <v>Je cherche du renfort pour tenter de pousser le véhicule</v>
      </c>
      <c r="H214" t="str">
        <v>Je ne fais rien</v>
      </c>
      <c r="I214" t="str">
        <v>J'appelle la police</v>
      </c>
      <c r="J214" t="str">
        <v>Aucune des réponses précédentes</v>
      </c>
    </row>
    <row r="215" spans="1:10" x14ac:dyDescent="0.25">
      <c r="A215" s="14" t="s">
        <v>670</v>
      </c>
      <c r="B215" s="7">
        <f t="shared" si="6"/>
        <v>3</v>
      </c>
      <c r="C215" s="7" t="str">
        <f t="shared" si="7"/>
        <v>Dans quel cas doit-on rédiger un permis de feu dans un établissement recevant du public ?|Lors de l'utilisation d'un transpalette à gaz dans un local|A l'occasion de travaux par points chauds|A la mise en place d'une zone fumeur|Lors de la mise en fonction d'une chaudière gaz|Aucune des réponses précédentes</v>
      </c>
      <c r="D215" t="str" cm="1">
        <f t="array" ref="D215:I215">_xlfn.TEXTSPLIT(C215,"|")</f>
        <v>Dans quel cas doit-on rédiger un permis de feu dans un établissement recevant du public ?</v>
      </c>
      <c r="E215" t="str">
        <v>Lors de l'utilisation d'un transpalette à gaz dans un local</v>
      </c>
      <c r="F215" t="str">
        <v>A l'occasion de travaux par points chauds</v>
      </c>
      <c r="G215" t="str">
        <v>A la mise en place d'une zone fumeur</v>
      </c>
      <c r="H215" t="str">
        <v>Lors de la mise en fonction d'une chaudière gaz</v>
      </c>
      <c r="I215" t="str">
        <v>Aucune des réponses précédentes</v>
      </c>
    </row>
    <row r="216" spans="1:10" x14ac:dyDescent="0.25">
      <c r="A216" s="14" t="s">
        <v>671</v>
      </c>
      <c r="B216" s="7">
        <f t="shared" si="6"/>
        <v>3</v>
      </c>
      <c r="C216" s="7" t="str">
        <f t="shared" si="7"/>
        <v>Un poste central de sécurité est obligatoire en IGH ?|En fonction de l'activité principale|Dans tous les cas|Suivant l'avis de la commission de sécurité compétente|Suivant la volonté de l'exploitant|Aucune des réponses précédentes</v>
      </c>
      <c r="D216" t="str" cm="1">
        <f t="array" ref="D216:I216">_xlfn.TEXTSPLIT(C216,"|")</f>
        <v>Un poste central de sécurité est obligatoire en IGH ?</v>
      </c>
      <c r="E216" t="str">
        <v>En fonction de l'activité principale</v>
      </c>
      <c r="F216" t="str">
        <v>Dans tous les cas</v>
      </c>
      <c r="G216" t="str">
        <v>Suivant l'avis de la commission de sécurité compétente</v>
      </c>
      <c r="H216" t="str">
        <v>Suivant la volonté de l'exploitant</v>
      </c>
      <c r="I216" t="str">
        <v>Aucune des réponses précédentes</v>
      </c>
    </row>
    <row r="217" spans="1:10" x14ac:dyDescent="0.25">
      <c r="A217" s="14" t="s">
        <v>672</v>
      </c>
      <c r="B217" s="7">
        <f t="shared" si="6"/>
        <v>3</v>
      </c>
      <c r="C217" s="7" t="str">
        <f t="shared" si="7"/>
        <v>Où sont implantées les colonnes sèches dans un I.G.H ?|Dans les locaux communs|Dans les circulations horizontales communes|Dans les escaliers de secours|Dans les dispositifs d'intercommunication desservant les escaliers|Aucune des réponses précédentes</v>
      </c>
      <c r="D217" t="str" cm="1">
        <f t="array" ref="D217:I217">_xlfn.TEXTSPLIT(C217,"|")</f>
        <v>Où sont implantées les colonnes sèches dans un I.G.H ?</v>
      </c>
      <c r="E217" t="str">
        <v>Dans les locaux communs</v>
      </c>
      <c r="F217" t="str">
        <v>Dans les circulations horizontales communes</v>
      </c>
      <c r="G217" t="str">
        <v>Dans les escaliers de secours</v>
      </c>
      <c r="H217" t="str">
        <v>Dans les dispositifs d'intercommunication desservant les escaliers</v>
      </c>
      <c r="I217" t="str">
        <v>Aucune des réponses précédentes</v>
      </c>
    </row>
    <row r="218" spans="1:10" x14ac:dyDescent="0.25">
      <c r="A218" s="14" t="s">
        <v>673</v>
      </c>
      <c r="B218" s="7">
        <f t="shared" si="6"/>
        <v>3</v>
      </c>
      <c r="C218" s="7" t="str">
        <f t="shared" si="7"/>
        <v>Quel est le rôle d'une Installation Fixe d'Extinction Automatique à Gaz ?|Extraire les fumées|Éteindre un incendie à un stade précoce de son développement|Maintenir une concentration d'agent extincteur pour éviter une ré inflammation|Évacuer au plus vite l'agent extincteur|Protéger des locaux|Aucune des réponses</v>
      </c>
      <c r="D218" t="str" cm="1">
        <f t="array" ref="D218:J218">_xlfn.TEXTSPLIT(C218,"|")</f>
        <v>Quel est le rôle d'une Installation Fixe d'Extinction Automatique à Gaz ?</v>
      </c>
      <c r="E218" t="str">
        <v>Extraire les fumées</v>
      </c>
      <c r="F218" t="str">
        <v>Éteindre un incendie à un stade précoce de son développement</v>
      </c>
      <c r="G218" t="str">
        <v>Maintenir une concentration d'agent extincteur pour éviter une ré inflammation</v>
      </c>
      <c r="H218" t="str">
        <v>Évacuer au plus vite l'agent extincteur</v>
      </c>
      <c r="I218" t="str">
        <v>Protéger des locaux</v>
      </c>
      <c r="J218" t="str">
        <v>Aucune des réponses</v>
      </c>
    </row>
    <row r="219" spans="1:10" x14ac:dyDescent="0.25">
      <c r="A219" s="14" t="s">
        <v>674</v>
      </c>
      <c r="B219" s="7">
        <f t="shared" si="6"/>
        <v>3</v>
      </c>
      <c r="C219" s="7" t="str">
        <f t="shared" si="7"/>
        <v>Quelle est la distance d'attaque d'un extincteur portatif à CO² de 2 kilos ?|Un mètre environ.|2 à 3 mètres|3 à 4 mètres.|5 à 6 mètres.|Plus de 6 mètres.|Aucune des réponses précédentes</v>
      </c>
      <c r="D219" t="str" cm="1">
        <f t="array" ref="D219:J219">_xlfn.TEXTSPLIT(C219,"|")</f>
        <v>Quelle est la distance d'attaque d'un extincteur portatif à CO² de 2 kilos ?</v>
      </c>
      <c r="E219" t="str">
        <v>Un mètre environ.</v>
      </c>
      <c r="F219" t="str">
        <v>2 à 3 mètres</v>
      </c>
      <c r="G219" t="str">
        <v>3 à 4 mètres.</v>
      </c>
      <c r="H219" t="str">
        <v>5 à 6 mètres.</v>
      </c>
      <c r="I219" t="str">
        <v>Plus de 6 mètres.</v>
      </c>
      <c r="J219" t="str">
        <v>Aucune des réponses précédentes</v>
      </c>
    </row>
    <row r="220" spans="1:10" x14ac:dyDescent="0.25">
      <c r="A220" s="14" t="s">
        <v>675</v>
      </c>
      <c r="B220" s="7">
        <f t="shared" si="6"/>
        <v>3</v>
      </c>
      <c r="C220" s="7" t="str">
        <f t="shared" si="7"/>
        <v>Quels sont les dangers des fumées ?|Elles engendrent des intoxications|Elles favorisent le phénomène de panique|Elles désorientent les personnes par manque de visibilité|Elles provoquent l'effondrement du bâtiment|Aucune des réponses précédentes</v>
      </c>
      <c r="D220" t="str" cm="1">
        <f t="array" ref="D220:I220">_xlfn.TEXTSPLIT(C220,"|")</f>
        <v>Quels sont les dangers des fumées ?</v>
      </c>
      <c r="E220" t="str">
        <v>Elles engendrent des intoxications</v>
      </c>
      <c r="F220" t="str">
        <v>Elles favorisent le phénomène de panique</v>
      </c>
      <c r="G220" t="str">
        <v>Elles désorientent les personnes par manque de visibilité</v>
      </c>
      <c r="H220" t="str">
        <v>Elles provoquent l'effondrement du bâtiment</v>
      </c>
      <c r="I220" t="str">
        <v>Aucune des réponses précédentes</v>
      </c>
    </row>
    <row r="221" spans="1:10" x14ac:dyDescent="0.25">
      <c r="A221" s="14" t="s">
        <v>676</v>
      </c>
      <c r="B221" s="7">
        <f t="shared" si="6"/>
        <v>3</v>
      </c>
      <c r="C221" s="7" t="str">
        <f t="shared" si="7"/>
        <v>Les dispositifs de coupure d'urgence électrique doivent :|Être inaccessibles au public|Être accessibles au public|Faciles à atteindre par les services de secours|Inaccessibles et autopilotés|Aucune des réponses précédentes</v>
      </c>
      <c r="D221" t="str" cm="1">
        <f t="array" ref="D221:I221">_xlfn.TEXTSPLIT(C221,"|")</f>
        <v>Les dispositifs de coupure d'urgence électrique doivent :</v>
      </c>
      <c r="E221" t="str">
        <v>Être inaccessibles au public</v>
      </c>
      <c r="F221" t="str">
        <v>Être accessibles au public</v>
      </c>
      <c r="G221" t="str">
        <v>Faciles à atteindre par les services de secours</v>
      </c>
      <c r="H221" t="str">
        <v>Inaccessibles et autopilotés</v>
      </c>
      <c r="I221" t="str">
        <v>Aucune des réponses précédentes</v>
      </c>
    </row>
    <row r="222" spans="1:10" x14ac:dyDescent="0.25">
      <c r="A222" s="14" t="s">
        <v>680</v>
      </c>
      <c r="B222" s="7">
        <f t="shared" si="6"/>
        <v>3</v>
      </c>
      <c r="C222" s="7" t="str">
        <f t="shared" si="7"/>
        <v>Quelle est la différence essentielle entre un S.S.I de catégorie A et un S.S.I de catégorie B ?|Le centralisateur de mise en sécurité incendie|Les dispositifs actionnés de sécurité|Le système de détection d'incendie|L'équipement de sécurité incendie|Aucune des réponses précédentes</v>
      </c>
      <c r="D222" t="str" cm="1">
        <f t="array" ref="D222:I222">_xlfn.TEXTSPLIT(C222,"|")</f>
        <v>Quelle est la différence essentielle entre un S.S.I de catégorie A et un S.S.I de catégorie B ?</v>
      </c>
      <c r="E222" t="str">
        <v>Le centralisateur de mise en sécurité incendie</v>
      </c>
      <c r="F222" t="str">
        <v>Les dispositifs actionnés de sécurité</v>
      </c>
      <c r="G222" t="str">
        <v>Le système de détection d'incendie</v>
      </c>
      <c r="H222" t="str">
        <v>L'équipement de sécurité incendie</v>
      </c>
      <c r="I222" t="str">
        <v>Aucune des réponses précédentes</v>
      </c>
    </row>
    <row r="223" spans="1:10" x14ac:dyDescent="0.25">
      <c r="A223" s="14" t="s">
        <v>677</v>
      </c>
      <c r="B223" s="7">
        <f t="shared" si="6"/>
        <v>3</v>
      </c>
      <c r="C223" s="7" t="str">
        <f t="shared" si="7"/>
        <v>Quel est le rôle de l'UGA ?|De donner des indications sur la position des DAS|De commander les DAS|De gérer le processus d'alarme|De réarmer le SSI|Aucune des réponses</v>
      </c>
      <c r="D223" t="str" cm="1">
        <f t="array" ref="D223:I223">_xlfn.TEXTSPLIT(C223,"|")</f>
        <v>Quel est le rôle de l'UGA ?</v>
      </c>
      <c r="E223" t="str">
        <v>De donner des indications sur la position des DAS</v>
      </c>
      <c r="F223" t="str">
        <v>De commander les DAS</v>
      </c>
      <c r="G223" t="str">
        <v>De gérer le processus d'alarme</v>
      </c>
      <c r="H223" t="str">
        <v>De réarmer le SSI</v>
      </c>
      <c r="I223" t="str">
        <v>Aucune des réponses</v>
      </c>
    </row>
    <row r="224" spans="1:10" x14ac:dyDescent="0.25">
      <c r="A224" s="14" t="s">
        <v>678</v>
      </c>
      <c r="B224" s="7">
        <f t="shared" si="6"/>
        <v>3</v>
      </c>
      <c r="C224" s="7" t="str">
        <f t="shared" si="7"/>
        <v>Un voyant rouge fixe sur l'US (unité de signalisation) indique ?|Un défaut de ligne|Une sensibilisation d'un D.A.Ι|Une zone en maintenance technique|Une zone mise hors service.|Tous les DAS sont en position de sécurité|Aucune des réponses précédentes</v>
      </c>
      <c r="D224" t="str" cm="1">
        <f t="array" ref="D224:J224">_xlfn.TEXTSPLIT(C224,"|")</f>
        <v>Un voyant rouge fixe sur l'US (unité de signalisation) indique ?</v>
      </c>
      <c r="E224" t="str">
        <v>Un défaut de ligne</v>
      </c>
      <c r="F224" t="str">
        <v>Une sensibilisation d'un D.A.Ι</v>
      </c>
      <c r="G224" t="str">
        <v>Une zone en maintenance technique</v>
      </c>
      <c r="H224" t="str">
        <v>Une zone mise hors service.</v>
      </c>
      <c r="I224" t="str">
        <v>Tous les DAS sont en position de sécurité</v>
      </c>
      <c r="J224" t="str">
        <v>Aucune des réponses précédentes</v>
      </c>
    </row>
    <row r="225" spans="1:10" x14ac:dyDescent="0.25">
      <c r="A225" s="14" t="s">
        <v>679</v>
      </c>
      <c r="B225" s="7">
        <f t="shared" ref="B225" si="8">FIND(". ",A225)</f>
        <v>3</v>
      </c>
      <c r="C225" s="7" t="str">
        <f t="shared" ref="C225" si="9">RIGHT(A225, LEN(A225)-(B225+1))</f>
        <v>Le plan schématique destiné à faciliter l'intervention des secours extérieurs doit au minimum se trouver :|Dans le bureau du chef d'établissement|A chaque entrée du bâtiment|Au PC sécurité|A l'accueil|Dans chaque local|Aucune des réponses précédentes</v>
      </c>
      <c r="D225" t="str" cm="1">
        <f t="array" ref="D225:J225">_xlfn.TEXTSPLIT(C225,"|")</f>
        <v>Le plan schématique destiné à faciliter l'intervention des secours extérieurs doit au minimum se trouver :</v>
      </c>
      <c r="E225" t="str">
        <v>Dans le bureau du chef d'établissement</v>
      </c>
      <c r="F225" t="str">
        <v>A chaque entrée du bâtiment</v>
      </c>
      <c r="G225" t="str">
        <v>Au PC sécurité</v>
      </c>
      <c r="H225" t="str">
        <v>A l'accueil</v>
      </c>
      <c r="I225" t="str">
        <v>Dans chaque local</v>
      </c>
      <c r="J225" t="str">
        <v>Aucune des réponses précédentes</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4</vt:i4>
      </vt:variant>
      <vt:variant>
        <vt:lpstr>Plages nommées</vt:lpstr>
      </vt:variant>
      <vt:variant>
        <vt:i4>43</vt:i4>
      </vt:variant>
    </vt:vector>
  </HeadingPairs>
  <TitlesOfParts>
    <vt:vector size="47" baseType="lpstr">
      <vt:lpstr>Definitions</vt:lpstr>
      <vt:lpstr>Liste_Questions</vt:lpstr>
      <vt:lpstr>Liste_UV</vt:lpstr>
      <vt:lpstr>Feuil1</vt:lpstr>
      <vt:lpstr>Feuil1!_1001bqsllr6s</vt:lpstr>
      <vt:lpstr>Feuil1!_1fvuqjs6xfvv</vt:lpstr>
      <vt:lpstr>Feuil1!_1jsutjyckwia</vt:lpstr>
      <vt:lpstr>Feuil1!_292kgykq0ye</vt:lpstr>
      <vt:lpstr>Feuil1!_2fo8i9cznxdf</vt:lpstr>
      <vt:lpstr>Feuil1!_2k99lr79hl9i</vt:lpstr>
      <vt:lpstr>Feuil1!_2utln1nfnqsx</vt:lpstr>
      <vt:lpstr>Feuil1!_3f34v0rndqst</vt:lpstr>
      <vt:lpstr>Feuil1!_3ra657p5rfks</vt:lpstr>
      <vt:lpstr>Feuil1!_62p8mewzupdh</vt:lpstr>
      <vt:lpstr>Feuil1!_6onwknd2sl70</vt:lpstr>
      <vt:lpstr>Feuil1!_6tacmrebr1p5</vt:lpstr>
      <vt:lpstr>Feuil1!_9cwk9m71vyqu</vt:lpstr>
      <vt:lpstr>Feuil1!_9z5isgtp0zf3</vt:lpstr>
      <vt:lpstr>Feuil1!_atn6jtpgu1zu</vt:lpstr>
      <vt:lpstr>Feuil1!_bp1acu9t2l5c</vt:lpstr>
      <vt:lpstr>Feuil1!_cgwcoegbkvui</vt:lpstr>
      <vt:lpstr>Feuil1!_dpycrk4r0ton</vt:lpstr>
      <vt:lpstr>Feuil1!_dsfs3jx2eyse</vt:lpstr>
      <vt:lpstr>Feuil1!_e8p5frs5ytai</vt:lpstr>
      <vt:lpstr>Feuil1!_g70xgby2qf4</vt:lpstr>
      <vt:lpstr>Feuil1!_gfdhz1jncvev</vt:lpstr>
      <vt:lpstr>Feuil1!_h0mvoz49fm6v</vt:lpstr>
      <vt:lpstr>Feuil1!_jwlnc0tny6dc</vt:lpstr>
      <vt:lpstr>Feuil1!_k02g03plkywz</vt:lpstr>
      <vt:lpstr>Feuil1!_lm3itvo759q</vt:lpstr>
      <vt:lpstr>Feuil1!_lscd2hhwq3g1</vt:lpstr>
      <vt:lpstr>Feuil1!_n4mqiy9hj47v</vt:lpstr>
      <vt:lpstr>Feuil1!_oy3w219kln5u</vt:lpstr>
      <vt:lpstr>Feuil1!_p8szso395pbb</vt:lpstr>
      <vt:lpstr>Feuil1!_pnbd6g5estm5</vt:lpstr>
      <vt:lpstr>Feuil1!_q6wqacbarion</vt:lpstr>
      <vt:lpstr>Feuil1!_qmhbzkb96b4</vt:lpstr>
      <vt:lpstr>Feuil1!_r9nnew6d5z19</vt:lpstr>
      <vt:lpstr>Feuil1!_rfltjsbl49ni</vt:lpstr>
      <vt:lpstr>Feuil1!_rz5po1gxlbgp</vt:lpstr>
      <vt:lpstr>Feuil1!_tt764b9auzq8</vt:lpstr>
      <vt:lpstr>Feuil1!_uiga32hpnzj</vt:lpstr>
      <vt:lpstr>Feuil1!_uj38wuktblzm</vt:lpstr>
      <vt:lpstr>Feuil1!_wpn81467iw0b</vt:lpstr>
      <vt:lpstr>Feuil1!_xsb2v6shjdib</vt:lpstr>
      <vt:lpstr>Feuil1!_z8j2bmuhxmo6</vt:lpstr>
      <vt:lpstr>Feuil1!_zgwccvp1qzq2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MONGE Céline</cp:lastModifiedBy>
  <dcterms:created xsi:type="dcterms:W3CDTF">2025-11-13T07:17:07Z</dcterms:created>
  <dcterms:modified xsi:type="dcterms:W3CDTF">2025-12-08T17:02:35Z</dcterms:modified>
</cp:coreProperties>
</file>