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aher-my.sharepoint.com/personal/2104474_daher_com/Documents/Documents/WORK/PYTHON/apps/JeuMotsSSIAP/"/>
    </mc:Choice>
  </mc:AlternateContent>
  <xr:revisionPtr revIDLastSave="739" documentId="13_ncr:1_{2ACE7C71-CCF8-48B7-AEC7-69C3CEDFEA63}" xr6:coauthVersionLast="47" xr6:coauthVersionMax="47" xr10:uidLastSave="{AB45E1F5-DE84-43C7-8CB2-91C6333C15BC}"/>
  <bookViews>
    <workbookView xWindow="-120" yWindow="-120" windowWidth="29040" windowHeight="15720" activeTab="1" xr2:uid="{00000000-000D-0000-FFFF-FFFF00000000}"/>
  </bookViews>
  <sheets>
    <sheet name="Definitions" sheetId="4" r:id="rId1"/>
    <sheet name="Liste_Questions" sheetId="1" r:id="rId2"/>
    <sheet name="Liste_UV" sheetId="2" r:id="rId3"/>
    <sheet name="Feuil1" sheetId="3" r:id="rId4"/>
  </sheets>
  <definedNames>
    <definedName name="_1001bqsllr6s" localSheetId="3">Feuil1!$A$29</definedName>
    <definedName name="_1fvuqjs6xfvv" localSheetId="3">Feuil1!$A$11</definedName>
    <definedName name="_1h997plu2r3q" localSheetId="3">Feuil1!#REF!</definedName>
    <definedName name="_1jsutjyckwia" localSheetId="3">Feuil1!$A$17</definedName>
    <definedName name="_1x11d5k5io24" localSheetId="3">Feuil1!#REF!</definedName>
    <definedName name="_25b71xk2i301" localSheetId="3">Feuil1!#REF!</definedName>
    <definedName name="_292kgykq0ye" localSheetId="3">Feuil1!$A$6</definedName>
    <definedName name="_2fo8i9cznxdf" localSheetId="3">Feuil1!$A$32</definedName>
    <definedName name="_2k99lr79hl9i" localSheetId="3">Feuil1!$A$5</definedName>
    <definedName name="_2utln1nfnqsx" localSheetId="3">Feuil1!$A$2</definedName>
    <definedName name="_3bxdsxq7p8gw" localSheetId="3">Feuil1!#REF!</definedName>
    <definedName name="_3f34v0rndqst" localSheetId="3">Feuil1!$A$31</definedName>
    <definedName name="_3ra657p5rfks" localSheetId="3">Feuil1!$A$4</definedName>
    <definedName name="_5ocrwot4q9or" localSheetId="3">Feuil1!#REF!</definedName>
    <definedName name="_62p8mewzupdh" localSheetId="3">Feuil1!$A$9</definedName>
    <definedName name="_63ehbuvcc3tw" localSheetId="3">Feuil1!#REF!</definedName>
    <definedName name="_6g3puvkrrskn" localSheetId="3">Feuil1!#REF!</definedName>
    <definedName name="_6onwknd2sl70" localSheetId="3">Feuil1!$A$7</definedName>
    <definedName name="_6sxpqe84lwy" localSheetId="3">Feuil1!#REF!</definedName>
    <definedName name="_6tacmrebr1p5" localSheetId="3">Feuil1!$A$3</definedName>
    <definedName name="_76u3b285zost" localSheetId="3">Feuil1!#REF!</definedName>
    <definedName name="_76x8livz92e3" localSheetId="3">Feuil1!#REF!</definedName>
    <definedName name="_7npq3rapq3b5" localSheetId="3">Feuil1!#REF!</definedName>
    <definedName name="_847vco2er5vx" localSheetId="3">Feuil1!#REF!</definedName>
    <definedName name="_8i1gdydhdqo8" localSheetId="3">Feuil1!#REF!</definedName>
    <definedName name="_8vd2wc5v9auo" localSheetId="3">Feuil1!#REF!</definedName>
    <definedName name="_92rzspumfy17" localSheetId="3">Feuil1!#REF!</definedName>
    <definedName name="_9cwk9m71vyqu" localSheetId="3">Feuil1!$A$34</definedName>
    <definedName name="_9hexdyk5v0wx" localSheetId="3">Feuil1!#REF!</definedName>
    <definedName name="_9jeesbxf4272" localSheetId="3">Feuil1!#REF!</definedName>
    <definedName name="_9o8iqnw0882k" localSheetId="3">Feuil1!#REF!</definedName>
    <definedName name="_9z5isgtp0zf3" localSheetId="3">Feuil1!$A$14</definedName>
    <definedName name="_a1blj5gc9j8j" localSheetId="3">Feuil1!#REF!</definedName>
    <definedName name="_a20iajxrewtn" localSheetId="3">Feuil1!#REF!</definedName>
    <definedName name="_a75ul79bzp21" localSheetId="3">Feuil1!#REF!</definedName>
    <definedName name="_atn6jtpgu1zu" localSheetId="3">Feuil1!$A$6</definedName>
    <definedName name="_b77wlvmmh9wq" localSheetId="3">Feuil1!#REF!</definedName>
    <definedName name="_be1fc6ea00hk" localSheetId="3">Feuil1!#REF!</definedName>
    <definedName name="_bp1acu9t2l5c" localSheetId="3">Feuil1!$A$16</definedName>
    <definedName name="_byzztlualq0q" localSheetId="3">Feuil1!#REF!</definedName>
    <definedName name="_ccy2pemctn8p" localSheetId="3">Feuil1!#REF!</definedName>
    <definedName name="_cgwcoegbkvui" localSheetId="3">Feuil1!$A$2</definedName>
    <definedName name="_chgzqrac0okr" localSheetId="3">Feuil1!#REF!</definedName>
    <definedName name="_dpycrk4r0ton" localSheetId="3">Feuil1!$A$30</definedName>
    <definedName name="_dsfs3jx2eyse" localSheetId="3">Feuil1!$A$15</definedName>
    <definedName name="_dwwrsfcgojso" localSheetId="3">Feuil1!#REF!</definedName>
    <definedName name="_e8p5frs5ytai" localSheetId="3">Feuil1!$A$3</definedName>
    <definedName name="_eltq1ml39i8g" localSheetId="3">Feuil1!#REF!</definedName>
    <definedName name="_f4und4vdlss2" localSheetId="3">Feuil1!#REF!</definedName>
    <definedName name="_xlnm._FilterDatabase" localSheetId="1" hidden="1">Liste_Questions!$A$1:$K$325</definedName>
    <definedName name="_g0y5qe76r34g" localSheetId="3">Feuil1!#REF!</definedName>
    <definedName name="_g70xgby2qf4" localSheetId="3">Feuil1!$A$4</definedName>
    <definedName name="_g8ek9utgccwp" localSheetId="3">Feuil1!#REF!</definedName>
    <definedName name="_g9qmie434sne" localSheetId="3">Feuil1!#REF!</definedName>
    <definedName name="_gawbf46ma6oj" localSheetId="3">Feuil1!#REF!</definedName>
    <definedName name="_gelkcw7y8ynz" localSheetId="3">Feuil1!#REF!</definedName>
    <definedName name="_gfdhz1jncvev" localSheetId="3">Feuil1!$A$20</definedName>
    <definedName name="_h0mvoz49fm6v" localSheetId="3">Feuil1!$A$12</definedName>
    <definedName name="_hdt4xnw2zsex" localSheetId="3">Feuil1!#REF!</definedName>
    <definedName name="_hm9eh7d297ex" localSheetId="3">Feuil1!#REF!</definedName>
    <definedName name="_hmf5bodeq1eo" localSheetId="3">Feuil1!#REF!</definedName>
    <definedName name="_hplm79wzz7gn" localSheetId="3">Feuil1!#REF!</definedName>
    <definedName name="_i1nfs8unu8of" localSheetId="3">Feuil1!#REF!</definedName>
    <definedName name="_i84ik2pub0j3" localSheetId="3">Feuil1!#REF!</definedName>
    <definedName name="_ieozcmlv3r2" localSheetId="3">Feuil1!#REF!</definedName>
    <definedName name="_iqeveq8of09t" localSheetId="3">Feuil1!#REF!</definedName>
    <definedName name="_j9lo7fkxjlb" localSheetId="3">Feuil1!#REF!</definedName>
    <definedName name="_jwlnc0tny6dc" localSheetId="3">Feuil1!$A$18</definedName>
    <definedName name="_k02g03plkywz" localSheetId="3">Feuil1!$A$23</definedName>
    <definedName name="_kc00q4gy8hb8" localSheetId="3">Feuil1!#REF!</definedName>
    <definedName name="_kg2jlon5v06" localSheetId="3">Feuil1!#REF!</definedName>
    <definedName name="_kor4i06yw3hg" localSheetId="3">Feuil1!#REF!</definedName>
    <definedName name="_kwnngch1lt48" localSheetId="3">Feuil1!#REF!</definedName>
    <definedName name="_lm3itvo759q" localSheetId="3">Feuil1!$A$8</definedName>
    <definedName name="_lscd2hhwq3g1" localSheetId="3">Feuil1!$A$26</definedName>
    <definedName name="_lx174ek5g80a" localSheetId="3">Feuil1!#REF!</definedName>
    <definedName name="_n4mqiy9hj47v" localSheetId="3">Feuil1!$A$24</definedName>
    <definedName name="_nyqwx0jkl5qi" localSheetId="3">Feuil1!#REF!</definedName>
    <definedName name="_nz347gkbav67" localSheetId="3">Feuil1!#REF!</definedName>
    <definedName name="_odb06e873shv" localSheetId="3">Feuil1!#REF!</definedName>
    <definedName name="_oy3w219kln5u" localSheetId="3">Feuil1!$A$33</definedName>
    <definedName name="_p8szso395pbb" localSheetId="3">Feuil1!$A$35</definedName>
    <definedName name="_p9wiu4shs9hc" localSheetId="3">Feuil1!#REF!</definedName>
    <definedName name="_pnbd6g5estm5" localSheetId="3">Feuil1!$A$28</definedName>
    <definedName name="_pspnwqqcx44q" localSheetId="3">Feuil1!#REF!</definedName>
    <definedName name="_ptslfom872qz" localSheetId="3">Feuil1!#REF!</definedName>
    <definedName name="_pzw7706yg5ao" localSheetId="3">Feuil1!#REF!</definedName>
    <definedName name="_q6wqacbarion" localSheetId="3">Feuil1!$A$25</definedName>
    <definedName name="_qf459c9a8pp1" localSheetId="3">Feuil1!#REF!</definedName>
    <definedName name="_qmhbzkb96b4" localSheetId="3">Feuil1!$A$27</definedName>
    <definedName name="_qxb3o5v8mgjr" localSheetId="3">Feuil1!#REF!</definedName>
    <definedName name="_r9nnew6d5z19" localSheetId="3">Feuil1!$A$36</definedName>
    <definedName name="_r9s9ghg1e3hf" localSheetId="3">Feuil1!#REF!</definedName>
    <definedName name="_rfltjsbl49ni" localSheetId="3">Feuil1!$A$10</definedName>
    <definedName name="_rz5po1gxlbgp" localSheetId="3">Feuil1!$A$13</definedName>
    <definedName name="_sicn53eiffia" localSheetId="3">Feuil1!#REF!</definedName>
    <definedName name="_tt764b9auzq8" localSheetId="3">Feuil1!$A$8</definedName>
    <definedName name="_u74njex1xmue" localSheetId="3">Feuil1!#REF!</definedName>
    <definedName name="_u87tnwpcwfm4" localSheetId="3">Feuil1!#REF!</definedName>
    <definedName name="_u9haniwxsi9j" localSheetId="3">Feuil1!#REF!</definedName>
    <definedName name="_uiga32hpnzj" localSheetId="3">Feuil1!$A$21</definedName>
    <definedName name="_uj38wuktblzm" localSheetId="3">Feuil1!$A$19</definedName>
    <definedName name="_utuurwq44qbd" localSheetId="3">Feuil1!#REF!</definedName>
    <definedName name="_v2a1uzdymhjv" localSheetId="3">Feuil1!#REF!</definedName>
    <definedName name="_vdgtxnft4z9o" localSheetId="3">Feuil1!#REF!</definedName>
    <definedName name="_vj8b6klcjtcc" localSheetId="3">Feuil1!#REF!</definedName>
    <definedName name="_vk618iff2ee1" localSheetId="3">Feuil1!#REF!</definedName>
    <definedName name="_vs7np853i52g" localSheetId="3">Feuil1!#REF!</definedName>
    <definedName name="_vyvwb23eh5z1" localSheetId="3">Feuil1!#REF!</definedName>
    <definedName name="_w3sb88kffkq" localSheetId="3">Feuil1!#REF!</definedName>
    <definedName name="_wpn81467iw0b" localSheetId="3">Feuil1!$A$7</definedName>
    <definedName name="_x6nck1a900y" localSheetId="3">Feuil1!#REF!</definedName>
    <definedName name="_xgrsy6hezdp9" localSheetId="3">Feuil1!#REF!</definedName>
    <definedName name="_xsb2v6shjdib" localSheetId="3">Feuil1!$A$9</definedName>
    <definedName name="_y4xt3quxwyvi" localSheetId="3">Feuil1!#REF!</definedName>
    <definedName name="_yj4hh6ff2wx9" localSheetId="3">Feuil1!#REF!</definedName>
    <definedName name="_yyxysi2ip7um" localSheetId="3">Feuil1!#REF!</definedName>
    <definedName name="_z8j2bmuhxmo6" localSheetId="3">Feuil1!$A$22</definedName>
    <definedName name="_zgwccvp1qzq2" localSheetId="3">Feuil1!$A$5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" l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D30" i="3" s="1" a="1"/>
  <c r="D30" i="3" s="1"/>
  <c r="C31" i="3"/>
  <c r="C32" i="3"/>
  <c r="C33" i="3"/>
  <c r="C34" i="3"/>
  <c r="C35" i="3"/>
  <c r="C36" i="3"/>
  <c r="C1" i="3"/>
  <c r="D1" i="3" s="1" a="1"/>
  <c r="D1" i="3" s="1"/>
  <c r="B3" i="3"/>
  <c r="B4" i="3"/>
  <c r="B5" i="3"/>
  <c r="B6" i="3"/>
  <c r="D6" i="3" s="1" a="1"/>
  <c r="D6" i="3" s="1"/>
  <c r="B7" i="3"/>
  <c r="B8" i="3"/>
  <c r="B9" i="3"/>
  <c r="D9" i="3" s="1" a="1"/>
  <c r="D9" i="3" s="1"/>
  <c r="B10" i="3"/>
  <c r="D10" i="3" a="1"/>
  <c r="D10" i="3" s="1"/>
  <c r="B11" i="3"/>
  <c r="D11" i="3" s="1" a="1"/>
  <c r="D11" i="3" s="1"/>
  <c r="B12" i="3"/>
  <c r="D12" i="3" s="1" a="1"/>
  <c r="D12" i="3" s="1"/>
  <c r="B13" i="3"/>
  <c r="D13" i="3" s="1" a="1"/>
  <c r="D13" i="3" s="1"/>
  <c r="B14" i="3"/>
  <c r="D14" i="3" a="1"/>
  <c r="D14" i="3" s="1"/>
  <c r="B15" i="3"/>
  <c r="D15" i="3" s="1" a="1"/>
  <c r="D15" i="3" s="1"/>
  <c r="B16" i="3"/>
  <c r="B17" i="3"/>
  <c r="B18" i="3"/>
  <c r="D18" i="3" a="1"/>
  <c r="D18" i="3" s="1"/>
  <c r="B19" i="3"/>
  <c r="B20" i="3"/>
  <c r="B21" i="3"/>
  <c r="B22" i="3"/>
  <c r="D22" i="3" a="1"/>
  <c r="D22" i="3" s="1"/>
  <c r="B23" i="3"/>
  <c r="D23" i="3" s="1" a="1"/>
  <c r="D23" i="3" s="1"/>
  <c r="B24" i="3"/>
  <c r="D24" i="3" s="1" a="1"/>
  <c r="D24" i="3" s="1"/>
  <c r="B25" i="3"/>
  <c r="D25" i="3" s="1" a="1"/>
  <c r="D25" i="3" s="1"/>
  <c r="B26" i="3"/>
  <c r="D26" i="3" a="1"/>
  <c r="D26" i="3" s="1"/>
  <c r="B27" i="3"/>
  <c r="D27" i="3" s="1" a="1"/>
  <c r="D27" i="3" s="1"/>
  <c r="B28" i="3"/>
  <c r="D28" i="3" s="1" a="1"/>
  <c r="D28" i="3" s="1"/>
  <c r="B29" i="3"/>
  <c r="D29" i="3" s="1" a="1"/>
  <c r="D29" i="3" s="1"/>
  <c r="B30" i="3"/>
  <c r="B31" i="3"/>
  <c r="B32" i="3"/>
  <c r="B33" i="3"/>
  <c r="B34" i="3"/>
  <c r="D34" i="3" a="1"/>
  <c r="D34" i="3" s="1"/>
  <c r="B35" i="3"/>
  <c r="B36" i="3"/>
  <c r="D2" i="3" a="1"/>
  <c r="D2" i="3" s="1"/>
  <c r="B2" i="3"/>
  <c r="B1" i="3"/>
  <c r="E3" i="2"/>
  <c r="E4" i="2"/>
  <c r="E5" i="2"/>
  <c r="E6" i="2"/>
  <c r="E7" i="2"/>
  <c r="E8" i="2"/>
  <c r="E9" i="2"/>
  <c r="E10" i="2"/>
  <c r="E11" i="2"/>
  <c r="E12" i="2"/>
  <c r="E13" i="2"/>
  <c r="E2" i="2"/>
  <c r="D3" i="2"/>
  <c r="C3" i="2" s="1"/>
  <c r="D4" i="2"/>
  <c r="C4" i="2" s="1"/>
  <c r="D5" i="2"/>
  <c r="C5" i="2" s="1"/>
  <c r="D6" i="2"/>
  <c r="C6" i="2" s="1"/>
  <c r="D7" i="2"/>
  <c r="C7" i="2" s="1"/>
  <c r="D8" i="2"/>
  <c r="C8" i="2" s="1"/>
  <c r="D9" i="2"/>
  <c r="C9" i="2" s="1"/>
  <c r="D10" i="2"/>
  <c r="C10" i="2" s="1"/>
  <c r="D11" i="2"/>
  <c r="C11" i="2" s="1"/>
  <c r="D12" i="2"/>
  <c r="C12" i="2" s="1"/>
  <c r="D13" i="2"/>
  <c r="C13" i="2" s="1"/>
  <c r="D14" i="2"/>
  <c r="D15" i="2"/>
  <c r="D2" i="2"/>
  <c r="C2" i="2" s="1"/>
  <c r="D35" i="3" l="1" a="1"/>
  <c r="D35" i="3" s="1"/>
  <c r="D21" i="3" a="1"/>
  <c r="D21" i="3" s="1"/>
  <c r="D8" i="3" a="1"/>
  <c r="D8" i="3" s="1"/>
  <c r="D33" i="3" a="1"/>
  <c r="D33" i="3" s="1"/>
  <c r="D20" i="3" a="1"/>
  <c r="D20" i="3" s="1"/>
  <c r="D7" i="3" a="1"/>
  <c r="D7" i="3" s="1"/>
  <c r="D36" i="3" a="1"/>
  <c r="D36" i="3" s="1"/>
  <c r="D32" i="3" a="1"/>
  <c r="D32" i="3" s="1"/>
  <c r="D19" i="3" a="1"/>
  <c r="D19" i="3" s="1"/>
  <c r="D31" i="3" a="1"/>
  <c r="D31" i="3" s="1"/>
  <c r="D5" i="3" a="1"/>
  <c r="D5" i="3" s="1"/>
  <c r="D4" i="3" a="1"/>
  <c r="D4" i="3" s="1"/>
  <c r="D17" i="3" a="1"/>
  <c r="D17" i="3" s="1"/>
  <c r="D3" i="3" a="1"/>
  <c r="D3" i="3" s="1"/>
  <c r="D16" i="3" a="1"/>
  <c r="D16" i="3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<sst xmlns="http://schemas.openxmlformats.org/spreadsheetml/2006/main" count="618" uniqueCount="494">
  <si>
    <t>UV</t>
  </si>
  <si>
    <t>Numéro Question</t>
  </si>
  <si>
    <t>Intitulé de la Question</t>
  </si>
  <si>
    <t>Proposition A</t>
  </si>
  <si>
    <t>Proposition B</t>
  </si>
  <si>
    <t>Proposition C</t>
  </si>
  <si>
    <t>Proposition D</t>
  </si>
  <si>
    <t>Proposition E</t>
  </si>
  <si>
    <t>Proposition F</t>
  </si>
  <si>
    <t>1</t>
  </si>
  <si>
    <t>D</t>
  </si>
  <si>
    <t>2</t>
  </si>
  <si>
    <t>A</t>
  </si>
  <si>
    <t>3</t>
  </si>
  <si>
    <t>4</t>
  </si>
  <si>
    <t>5</t>
  </si>
  <si>
    <t>C</t>
  </si>
  <si>
    <t>6</t>
  </si>
  <si>
    <t>7</t>
  </si>
  <si>
    <t>B</t>
  </si>
  <si>
    <t>8</t>
  </si>
  <si>
    <t>E</t>
  </si>
  <si>
    <t>9</t>
  </si>
  <si>
    <t>10</t>
  </si>
  <si>
    <t>11</t>
  </si>
  <si>
    <t>12</t>
  </si>
  <si>
    <t>13</t>
  </si>
  <si>
    <t>14</t>
  </si>
  <si>
    <t>Description</t>
  </si>
  <si>
    <t>Aucune des réponses précédentes</t>
  </si>
  <si>
    <t>Établissement Recevant du Public</t>
  </si>
  <si>
    <t>Immeuble de Grande Hauteur</t>
  </si>
  <si>
    <t>D.A.S.</t>
  </si>
  <si>
    <t>C.M.S.I.</t>
  </si>
  <si>
    <t>S.M.S.I.</t>
  </si>
  <si>
    <t>S.D.I.</t>
  </si>
  <si>
    <t>VRAC (1)</t>
  </si>
  <si>
    <t>VRAC (2)</t>
  </si>
  <si>
    <t>Nb_Questions</t>
  </si>
  <si>
    <t>UV03</t>
  </si>
  <si>
    <t>UV08</t>
  </si>
  <si>
    <t>UV06</t>
  </si>
  <si>
    <t>UV07</t>
  </si>
  <si>
    <t>Titre</t>
  </si>
  <si>
    <t>UV en vrac (20 questions)</t>
  </si>
  <si>
    <t>mot</t>
  </si>
  <si>
    <t>definition</t>
  </si>
  <si>
    <t>A.F.F.F.</t>
  </si>
  <si>
    <t>Agents Formant un Film Flottant</t>
  </si>
  <si>
    <t>A.E.S.</t>
  </si>
  <si>
    <t>Alimentation Électrique de Sécurité</t>
  </si>
  <si>
    <t>A.G.S.</t>
  </si>
  <si>
    <t>Alarme Générale Sélective</t>
  </si>
  <si>
    <t>A.P.S.</t>
  </si>
  <si>
    <t>Alimentation Pneumatique de Sécurité</t>
  </si>
  <si>
    <t>A.U.</t>
  </si>
  <si>
    <t>Arrêt d'Urgence</t>
  </si>
  <si>
    <t>B.A.A.S.</t>
  </si>
  <si>
    <t>Bloc Autonome d'Alarme Sonore</t>
  </si>
  <si>
    <t>B.A.A.S. Ma</t>
  </si>
  <si>
    <t>Bloc Autonome d'Alarme Sonore Manuel</t>
  </si>
  <si>
    <t>B.A.A.S. Pr</t>
  </si>
  <si>
    <t>Bloc Autonome d'Alarme Sonore Principal</t>
  </si>
  <si>
    <t>B.A.A.S. Sa</t>
  </si>
  <si>
    <t>Bloc Autonome d'Alarme Sonore Satellite</t>
  </si>
  <si>
    <t>B.A.E.S.</t>
  </si>
  <si>
    <t>Bloc Autonome d'Éclairage de Sécurité</t>
  </si>
  <si>
    <t>B.A.P.I.</t>
  </si>
  <si>
    <t>Bloc Autonome Portable d'Intervention</t>
  </si>
  <si>
    <t>B.E.S.</t>
  </si>
  <si>
    <t>Bloc d'Éclairage de Sécurité</t>
  </si>
  <si>
    <t>B.B.G.</t>
  </si>
  <si>
    <t>Boitier Bris de Glace</t>
  </si>
  <si>
    <t>B.I.</t>
  </si>
  <si>
    <t>Bouche Incendie</t>
  </si>
  <si>
    <t>C.C.F.</t>
  </si>
  <si>
    <t>Clapet Coupe Feu</t>
  </si>
  <si>
    <t>C.C.H.</t>
  </si>
  <si>
    <t>Code de la Construction et de l'Habitation</t>
  </si>
  <si>
    <t>C.F.</t>
  </si>
  <si>
    <t>Coupe Feu</t>
  </si>
  <si>
    <t>C.H.</t>
  </si>
  <si>
    <t>Colonne Humide</t>
  </si>
  <si>
    <t>C.H.C.</t>
  </si>
  <si>
    <t>Colonne Horizontale Commune</t>
  </si>
  <si>
    <t>C.H.P.</t>
  </si>
  <si>
    <t>Colonne Horizontale Privative</t>
  </si>
  <si>
    <t>Centraliseur de Mise en Sécurité Incendie</t>
  </si>
  <si>
    <t>C.S.</t>
  </si>
  <si>
    <t>Colonne Sèche</t>
  </si>
  <si>
    <t>C.T.</t>
  </si>
  <si>
    <t>Code deu Travail</t>
  </si>
  <si>
    <t>D.A.C.</t>
  </si>
  <si>
    <t>Dispositif Adaptateur de Commande</t>
  </si>
  <si>
    <t>D.A.D.</t>
  </si>
  <si>
    <t>Détecteur Autonome Déclencheur</t>
  </si>
  <si>
    <t>D.A.E.</t>
  </si>
  <si>
    <t>Défibrillateur Automatique Externe</t>
  </si>
  <si>
    <t>D.A.I.</t>
  </si>
  <si>
    <t>Détecteur Autonome Incendie</t>
  </si>
  <si>
    <t>Dispositif Actionné de Sécurité</t>
  </si>
  <si>
    <t>D.C.M.</t>
  </si>
  <si>
    <t>Dispositif de Commande Manuelle</t>
  </si>
  <si>
    <t>D.C.M.R.</t>
  </si>
  <si>
    <t>Dispositif de Commandes Manuelles Regroupées</t>
  </si>
  <si>
    <t>D.C.S.</t>
  </si>
  <si>
    <t>Dispositif de Commande et de Signalisation</t>
  </si>
  <si>
    <t>D.C.T.</t>
  </si>
  <si>
    <t>Dispositif Commandé Terminal</t>
  </si>
  <si>
    <t>D.E.A.</t>
  </si>
  <si>
    <t>Défibrillateur Entièrement Automatique</t>
  </si>
  <si>
    <t>D.I.</t>
  </si>
  <si>
    <t>Détecteur Incendie</t>
  </si>
  <si>
    <t>D.L.</t>
  </si>
  <si>
    <t>Diffuseur Lumineux</t>
  </si>
  <si>
    <t>D.M.</t>
  </si>
  <si>
    <t>Déclencheur Manuel</t>
  </si>
  <si>
    <t>D.S.</t>
  </si>
  <si>
    <t>Diffuseur Sonore</t>
  </si>
  <si>
    <t>D.S.A.</t>
  </si>
  <si>
    <t>Défibrillateur Semi-Automatique</t>
  </si>
  <si>
    <t>D.S.N.A.</t>
  </si>
  <si>
    <t>Diffuseur Sonore Non Autonome</t>
  </si>
  <si>
    <t>E.A.</t>
  </si>
  <si>
    <t>Équipement d'Alarme</t>
  </si>
  <si>
    <t>E.C.S.</t>
  </si>
  <si>
    <t>Équipement de Contrôle et de Signalisation</t>
  </si>
  <si>
    <t>E.R.P.</t>
  </si>
  <si>
    <t>G.E.S.</t>
  </si>
  <si>
    <t>Groupe Électrogène de Sécurité</t>
  </si>
  <si>
    <t>G.T.B.</t>
  </si>
  <si>
    <t>Gestion Technique de Bâtiment</t>
  </si>
  <si>
    <t>G.T.C.</t>
  </si>
  <si>
    <t>Gestion Technique Centralisée</t>
  </si>
  <si>
    <t>I.A.</t>
  </si>
  <si>
    <t>Indicateur d'Action</t>
  </si>
  <si>
    <t>I.F.E.A.</t>
  </si>
  <si>
    <t>Installation Fixe d'Extinction Automatique</t>
  </si>
  <si>
    <t>I.G.H.</t>
  </si>
  <si>
    <t>I.T.G.H.</t>
  </si>
  <si>
    <t>Immeuble de Très Grande Hauteur</t>
  </si>
  <si>
    <t>L.R.C.</t>
  </si>
  <si>
    <t>Locaux à Risques Courants</t>
  </si>
  <si>
    <t>L.R.I.</t>
  </si>
  <si>
    <t>Locaux à Risques Importants</t>
  </si>
  <si>
    <t>L.R.M.</t>
  </si>
  <si>
    <t>Locaux à Risques Moyens</t>
  </si>
  <si>
    <t>L.R.P.</t>
  </si>
  <si>
    <t>Locaux à Risques Particuliers</t>
  </si>
  <si>
    <t>M.D.</t>
  </si>
  <si>
    <t>Matériel Déporté</t>
  </si>
  <si>
    <t>N.S.A.</t>
  </si>
  <si>
    <t>Non Stop Ascenseur</t>
  </si>
  <si>
    <t>N.E.</t>
  </si>
  <si>
    <t>Norme Européenne</t>
  </si>
  <si>
    <t>N.F.</t>
  </si>
  <si>
    <t>Norme Française</t>
  </si>
  <si>
    <t>P.A.</t>
  </si>
  <si>
    <t>Position d'Attente</t>
  </si>
  <si>
    <t>P.C.</t>
  </si>
  <si>
    <t>Poste Central</t>
  </si>
  <si>
    <t>P.C.F.</t>
  </si>
  <si>
    <t>Porte Coupe Feu</t>
  </si>
  <si>
    <t>P.C.S.</t>
  </si>
  <si>
    <t>Poste Central de Sécurité</t>
  </si>
  <si>
    <t>P.F.</t>
  </si>
  <si>
    <t>Pare Flamme</t>
  </si>
  <si>
    <t>P.I.</t>
  </si>
  <si>
    <t>Poteau Incendie</t>
  </si>
  <si>
    <t>P.S.</t>
  </si>
  <si>
    <t>Position de Sécurité</t>
  </si>
  <si>
    <t>P.S.C.</t>
  </si>
  <si>
    <t>Premier Secours Civique</t>
  </si>
  <si>
    <t>R.I.A.</t>
  </si>
  <si>
    <t>Robinet d'Incendie Armé</t>
  </si>
  <si>
    <t>S.A.T.I.</t>
  </si>
  <si>
    <t>Système Automatique à Test Intégré</t>
  </si>
  <si>
    <t>Système de Détection Incendie</t>
  </si>
  <si>
    <t>S.F.</t>
  </si>
  <si>
    <t>Stable au Feu</t>
  </si>
  <si>
    <t>Système de Mise en Sécurité Incendie</t>
  </si>
  <si>
    <t>S.S.I.</t>
  </si>
  <si>
    <t>Système de Sécurité Incendie</t>
  </si>
  <si>
    <t>S.S.I.A.P.</t>
  </si>
  <si>
    <t>Système de Sécurité Incendie et d'Assistance à Personnes</t>
  </si>
  <si>
    <t>S.S.S.</t>
  </si>
  <si>
    <t>Système de Sonorisation de Sécurité</t>
  </si>
  <si>
    <t>S.S.T.</t>
  </si>
  <si>
    <t>Sauveteur Secouriste du Travail</t>
  </si>
  <si>
    <t>T.D.</t>
  </si>
  <si>
    <t>Tableau Divisionnaire</t>
  </si>
  <si>
    <t>T.G.B.T.</t>
  </si>
  <si>
    <t>Tableau Général Basse Tention</t>
  </si>
  <si>
    <t>T.G.H.T.</t>
  </si>
  <si>
    <t>Tableau Général Haute Tention</t>
  </si>
  <si>
    <t>T.S.</t>
  </si>
  <si>
    <t>Tableau de Signalisation</t>
  </si>
  <si>
    <t>U.A.E.</t>
  </si>
  <si>
    <t>Unité d'Aide à l'Exploitation</t>
  </si>
  <si>
    <t>U.C.M.C.</t>
  </si>
  <si>
    <t>Unité de Commandes Manuelles Centralisées</t>
  </si>
  <si>
    <t>U.G.A.</t>
  </si>
  <si>
    <t>Unité de Gestion d'Alarme</t>
  </si>
  <si>
    <t>U.G.C.I.S.</t>
  </si>
  <si>
    <t>Unité de Gestion Centralisée des Issues de Secours</t>
  </si>
  <si>
    <t>U.S.</t>
  </si>
  <si>
    <t>Unité de Signalisation</t>
  </si>
  <si>
    <t>V.B.</t>
  </si>
  <si>
    <t>Ventilation Basse</t>
  </si>
  <si>
    <t>V.H.</t>
  </si>
  <si>
    <t>Ventilation Haute</t>
  </si>
  <si>
    <t>V.T.</t>
  </si>
  <si>
    <t>Voie de Transmission</t>
  </si>
  <si>
    <t>Z.A.</t>
  </si>
  <si>
    <t>Zone d'Alarme</t>
  </si>
  <si>
    <t>Z.C.</t>
  </si>
  <si>
    <t>Zone de Compartimentage</t>
  </si>
  <si>
    <t>Z.D.</t>
  </si>
  <si>
    <t>Zone de Détection</t>
  </si>
  <si>
    <t>Z.D.A.</t>
  </si>
  <si>
    <t>Zone de Détecteurs Automatiques</t>
  </si>
  <si>
    <t>Z.D.M.</t>
  </si>
  <si>
    <t>Zone de Déclencheurs Manuels</t>
  </si>
  <si>
    <t>Z.F.</t>
  </si>
  <si>
    <t>Zone de Désenfumage</t>
  </si>
  <si>
    <t>Z.S.</t>
  </si>
  <si>
    <t>Zone de Mise en Sécurité</t>
  </si>
  <si>
    <t>Le Feu</t>
  </si>
  <si>
    <t>UV01 (1)</t>
  </si>
  <si>
    <t>UV01 (2)</t>
  </si>
  <si>
    <t>UV02</t>
  </si>
  <si>
    <t>Classement des ERP</t>
  </si>
  <si>
    <t>Classement des IGH</t>
  </si>
  <si>
    <t>Sécurité incendie en ERP</t>
  </si>
  <si>
    <t>UV04 (1)</t>
  </si>
  <si>
    <t>UV04 (2)</t>
  </si>
  <si>
    <t>UV05</t>
  </si>
  <si>
    <t>Sécurité incendie en IGH</t>
  </si>
  <si>
    <t>Les moyens de secours</t>
  </si>
  <si>
    <t>Les installations électriques</t>
  </si>
  <si>
    <t>Le S.S.I.</t>
  </si>
  <si>
    <t>UV09 (1)</t>
  </si>
  <si>
    <t>Rôles et missions des agents</t>
  </si>
  <si>
    <t>UV09 (2)</t>
  </si>
  <si>
    <t xml:space="preserve">Les liquides </t>
  </si>
  <si>
    <t xml:space="preserve">L’énergie d’activation </t>
  </si>
  <si>
    <t>Proposition G</t>
  </si>
  <si>
    <t>1. Quels combustibles forment des braises au cours de leur combustion ? |Les liquides |Les solides |Les gaz |Les fumées |Aucune des réponses précédentes</t>
  </si>
  <si>
    <t>2. Quels sont les éléments qui constituent le triangle du feu ? |Le gaz carbonique |Le comburant |Le combustible |L’énergie d’activation |La poudre |L’eau avec additif |Aucune des réponses précédentes</t>
  </si>
  <si>
    <t>3. Parmi ces propositions indiquez le (ou les) comburant(s) ? |Un combustible liquide appelé aussi carburant |Le gaz carbonique |La chaleur |L’oxygène de l’air |La couche d’ozone |Aucune des réponses précédentes</t>
  </si>
  <si>
    <t>4. Parmi ces propositions, indiquez celle(s) considérée(s) comme étant un comburant ? |Le propane |Les flammes |L’huile hydraulique |L’oxygène |L’essence |Aucune des réponses précédentes</t>
  </si>
  <si>
    <t>5. La combustion est une réaction : |Exothermocimétrique |Exothermique |Oxydable |Exothérique |Extra-thermique |Aucune des réponses précédentes</t>
  </si>
  <si>
    <t>6. Quelles sont les différentes causes des incendies ? |Naturelles |Catastrophiques |Humaines |Techniques |Réelles |Aucune des réponses précédentes</t>
  </si>
  <si>
    <t>7. Un incendie peut être d’origine : |Alimentaire |Humaine |Naturelle |Électrique |Hydraulique |Aucune des réponses précédentes</t>
  </si>
  <si>
    <t>8. Afin de déterminer les agents extincteurs à utiliser, comment classe-t-on les familles de combustibles ? |En fonction de leur dangerosité |En fonction du type de combustion (lente, vive, spontanée) |En fonction de leurs points éclair |En fonction de leurs états (solide, liquide, gaz) |Aucune des réponses précédentes</t>
  </si>
  <si>
    <t>9. Quels sont, parmi les propositions suivantes, les éléments qui appartiennent à la classe de feu D ? |Le bois |L’aluminium |Le butane |Le sodium |Aucune des réponses précédentes</t>
  </si>
  <si>
    <t>10. Quels sont, parmi les propositions suivantes, les éléments qui appartiennent à la classe de feu B ? |L’huile moteur |L’alcool |La paille |Certains plastiques |L’oxygène |Aucune des réponses précédentes</t>
  </si>
  <si>
    <t>11. Qu’est-ce que la convection dans un feu ? |C’est la transmission de la chaleur par la masse même du matériau |C’est la transmission de la chaleur par l’intermédiaire de l’air |C’est la transmission de la chaleur par l’intermédiaire d’ondes électromagnétiques |C’est la transmission de la chaleur par l’intermédiaire de particules incandescentes |Aucune des réponses précédentes</t>
  </si>
  <si>
    <t>12. Comment se propage la chaleur par rayonnement ? |Par la masse du matériau |Par projection de particules incandescentes |Par déplacement de la fumée |Par mouvement des gaz chauds |Par l’intermédiaire d’ondes électromagnétiques |Aucune des réponses précédentes</t>
  </si>
  <si>
    <t>13. Qu’est-ce que la conduction dans un feu ? |C’est la transmission de la chaleur par la masse même du matériau |C’est la transmission de la chaleur par l’intermédiaire de l’air |C’est la transmission de la chaleur par l’intermédiaire d’ondes électromagnétiques |C’est la transmission de la chaleur par l’intermédiaire de particules incandescentes |Aucune des réponses précédentes</t>
  </si>
  <si>
    <t>14. Quels sont les modes de propagation d’un incendie ? |Le rayonnement |Les projections |La conviction |La conduction |La fragmentation |La convection |Aucune des réponses précédentes</t>
  </si>
  <si>
    <t>1. À quoi s’applique la résistance au feu ? |Aux matériaux utilisés pour l’ameublement |Aux éléments de construction |Aux revêtements de sol |Aux piliers |À la quantité de chaleur dégagée |Aucune des réponses précédentes</t>
  </si>
  <si>
    <t>2. Comment sont exprimées les durées de résistance au feu, dans les euroclasses ? |En secondes |En minutes |En heures |En heures et minutes |Aucune des réponses précédentes</t>
  </si>
  <si>
    <t>3. SF-PF-CF correspondent : |À la résistance au feu des éléments de construction |À la réaction au feu des matériaux de construction |Aux niveaux d’accès du S.S.I |Aux classements d’E.R.P |Aucune des réponses précédentes</t>
  </si>
  <si>
    <t>4. La réaction au feu d’un matériau peut être notée : |SF |A1 |CF |MO |M2 |Aucune des réponses précédentes</t>
  </si>
  <si>
    <t>5. Le classement M1 correspond à : |La résistance au feu d’une porte |Le potentiel d’extinction d’un extincteur |La réaction au feu d’un matériau |La manœuvre mensuelle obligatoire |Aucune des réponses précédentes</t>
  </si>
  <si>
    <t>6. Un classement de réaction au feu est demandé pour : |Un revêtement mural |Un rétroprojecteur |Un revêtement de sol |Un gros mobilier |Aucune des réponses précédentes</t>
  </si>
  <si>
    <t>7. En ERP, donnez les principales règles pour le revêtement des escaliers encloisonnés ? |M1 pour les murs |M2 pour le sol |M3 pour le plafond |M4 pour le sol |M1 pour le plafond |M3 pour le sol |Aucune des réponses précédentes</t>
  </si>
  <si>
    <t>8. La résistance au feu s’applique : |Aux meubles |Aux sapins de Noël |Aux objets |Aux éléments de construction |Aucune des réponses précédentes</t>
  </si>
  <si>
    <t>9. Un élément de construction qui résiste au feu peut être classé : |Coupe-feu |REI |Pare-feu |A.E.S. |Stable au feu |Aucune des réponses précédentes</t>
  </si>
  <si>
    <t>1. Quel établissement suivant est classé en type OA ? |Un hôtel habité |Un hôtel d’altitude |Une habitation occupée |Un organisme agréé |Aucune des réponses précédentes</t>
  </si>
  <si>
    <t>2. Qu’est-ce qu’un établissement de type PA ? |Un parc automobile |Un stand de tir |Un centre de formation professionnel pour adultes |Aucune des réponses précédentes</t>
  </si>
  <si>
    <t>3. Parmi les établissements suivants, lesquels sont des ERP ? |Un train de voyageur |Un parc d’exposition |Une salle de concert |Un dépôt de gaz |Une menuiserie |Aucune des réponses précédentes</t>
  </si>
  <si>
    <t>4. Quel règlement de sécurité incendie est applicable aux E.R.P. du 1er groupe ? |L’arrêté du 08 mai 1968 modifié |L’arrêté du 18 octobre 1977 modifié |L’arrêté du 25 juin 1980 modifié |L’arrêté du 02 mai 2005 modifié |L’arrêté du 23 août 2008 modifié |Aucune des réponses précédentes</t>
  </si>
  <si>
    <t>5. Une maison d’accueil pour handicapés pouvant recevoir 308 personnes est classée : |Type J |Type U |Type R |2ème catégorie |3ème catégorie |4ème catégorie |Aucune des réponses précédentes</t>
  </si>
  <si>
    <t>6. Les ERP sont classés par catégorie en fonction : |Du nombre maximum de personnes admises |Du nombre d’étages |Du nombre de locaux |Du nombre de sorties |Aucune des réponses précédentes</t>
  </si>
  <si>
    <t>1. Les IGH à usage exclusif de bureaux sont classés de la façon suivante : |GHZ |GHR |GHW1 |GHW2 |Aucune des réponses précédentes</t>
  </si>
  <si>
    <t>2. Le classement d’un bâtiment en immeuble de grande hauteur est déterminé d’après : |La catégorie de l’établissement |La surface accessible au public |La hauteur du plancher bas du dernier niveau |La commission de sécurité compétente |Aucune des réponses précédentes</t>
  </si>
  <si>
    <t>3. Qu’est-ce qu’un GH S ? |Un IGH à usage mixte |Un IGH d’enseignement |Un IGH d’habitation |Un IGH d’archives |Aucune des réponses précédentes</t>
  </si>
  <si>
    <t>4. Est considéré comme IGH, tout bâtiment dont le plancher bas du dernier niveau est situé à plus de : |50 mètres pour les immeubles à usage d’habitation |28 mètres pour les immeubles ne relevant pas de l’habitation |28 mètres pour les immeubles à usage d’habitation |Aucune des réponses précédentes</t>
  </si>
  <si>
    <t>5. Un immeuble à usage de bureau dont le plancher bas du dernier niveau est situé à 18 mètres de hauteur sera classé en : |GH U |GH W1 |GH W2 |GH Z |Aucune des réponses précédentes</t>
  </si>
  <si>
    <t>6. Qu’est-ce qu’un GH U ? |Un IGH à usage d’habitation |Un IGH à usage de bureaux |Un IGH à usage mixte |Un IGH à usage d’archives |Aucune des réponses précédentes</t>
  </si>
  <si>
    <t>7. Qu’est-ce qu’un GH A ? |Un IGH d’habitation |Un IGH de bureaux |Un IGH hôtelier |Un IGH hospitalier |Aucune des réponses précédentes</t>
  </si>
  <si>
    <t xml:space="preserve">Quels combustibles forment des braises au cours de leur combustion ? </t>
  </si>
  <si>
    <t xml:space="preserve">Les solides </t>
  </si>
  <si>
    <t xml:space="preserve">Les gaz </t>
  </si>
  <si>
    <t xml:space="preserve">Les fumées </t>
  </si>
  <si>
    <t xml:space="preserve">Quels sont les éléments qui constituent le triangle du feu ? </t>
  </si>
  <si>
    <t xml:space="preserve">Le gaz carbonique </t>
  </si>
  <si>
    <t xml:space="preserve">Le comburant </t>
  </si>
  <si>
    <t xml:space="preserve">Le combustible </t>
  </si>
  <si>
    <t xml:space="preserve">La poudre </t>
  </si>
  <si>
    <t xml:space="preserve">L’eau avec additif </t>
  </si>
  <si>
    <t xml:space="preserve">Parmi ces propositions indiquez le (ou les) comburant(s) ? </t>
  </si>
  <si>
    <t xml:space="preserve">Un combustible liquide appelé aussi carburant </t>
  </si>
  <si>
    <t xml:space="preserve">La chaleur </t>
  </si>
  <si>
    <t xml:space="preserve">L’oxygène de l’air </t>
  </si>
  <si>
    <t xml:space="preserve">La couche d’ozone </t>
  </si>
  <si>
    <t xml:space="preserve">Parmi ces propositions, indiquez celle(s) considérée(s) comme étant un comburant ? </t>
  </si>
  <si>
    <t xml:space="preserve">Le propane </t>
  </si>
  <si>
    <t xml:space="preserve">Les flammes </t>
  </si>
  <si>
    <t xml:space="preserve">L’huile hydraulique </t>
  </si>
  <si>
    <t xml:space="preserve">L’oxygène </t>
  </si>
  <si>
    <t xml:space="preserve">L’essence </t>
  </si>
  <si>
    <t xml:space="preserve">La combustion est une réaction : </t>
  </si>
  <si>
    <t xml:space="preserve">Exothermocimétrique </t>
  </si>
  <si>
    <t xml:space="preserve">Exothermique </t>
  </si>
  <si>
    <t xml:space="preserve">Oxydable </t>
  </si>
  <si>
    <t xml:space="preserve">Exothérique </t>
  </si>
  <si>
    <t xml:space="preserve">Extra-thermique </t>
  </si>
  <si>
    <t xml:space="preserve">Quelles sont les différentes causes des incendies ? </t>
  </si>
  <si>
    <t xml:space="preserve">Naturelles </t>
  </si>
  <si>
    <t xml:space="preserve">Catastrophiques </t>
  </si>
  <si>
    <t xml:space="preserve">Humaines </t>
  </si>
  <si>
    <t xml:space="preserve">Techniques </t>
  </si>
  <si>
    <t xml:space="preserve">Réelles </t>
  </si>
  <si>
    <t xml:space="preserve">Un incendie peut être d’origine : </t>
  </si>
  <si>
    <t xml:space="preserve">Alimentaire </t>
  </si>
  <si>
    <t xml:space="preserve">Humaine </t>
  </si>
  <si>
    <t xml:space="preserve">Naturelle </t>
  </si>
  <si>
    <t xml:space="preserve">Électrique </t>
  </si>
  <si>
    <t xml:space="preserve">Hydraulique </t>
  </si>
  <si>
    <t xml:space="preserve">Afin de déterminer les agents extincteurs à utiliser, comment classe-t-on les familles de combustibles ? </t>
  </si>
  <si>
    <t xml:space="preserve">En fonction de leur dangerosité </t>
  </si>
  <si>
    <t xml:space="preserve">En fonction du type de combustion (lente, vive, spontanée) </t>
  </si>
  <si>
    <t xml:space="preserve">En fonction de leurs points éclair </t>
  </si>
  <si>
    <t xml:space="preserve">En fonction de leurs états (solide, liquide, gaz) </t>
  </si>
  <si>
    <t xml:space="preserve">Quels sont, parmi les propositions suivantes, les éléments qui appartiennent à la classe de feu D ? </t>
  </si>
  <si>
    <t xml:space="preserve">Le bois </t>
  </si>
  <si>
    <t xml:space="preserve">L’aluminium </t>
  </si>
  <si>
    <t xml:space="preserve">Le butane </t>
  </si>
  <si>
    <t xml:space="preserve">Le sodium </t>
  </si>
  <si>
    <t xml:space="preserve">Quels sont, parmi les propositions suivantes, les éléments qui appartiennent à la classe de feu B ? </t>
  </si>
  <si>
    <t xml:space="preserve">L’huile moteur </t>
  </si>
  <si>
    <t xml:space="preserve">L’alcool </t>
  </si>
  <si>
    <t xml:space="preserve">La paille </t>
  </si>
  <si>
    <t xml:space="preserve">Certains plastiques </t>
  </si>
  <si>
    <t xml:space="preserve">Qu’est-ce que la convection dans un feu ? </t>
  </si>
  <si>
    <t xml:space="preserve">C’est la transmission de la chaleur par la masse même du matériau </t>
  </si>
  <si>
    <t xml:space="preserve">C’est la transmission de la chaleur par l’intermédiaire de l’air </t>
  </si>
  <si>
    <t xml:space="preserve">C’est la transmission de la chaleur par l’intermédiaire d’ondes électromagnétiques </t>
  </si>
  <si>
    <t xml:space="preserve">C’est la transmission de la chaleur par l’intermédiaire de particules incandescentes </t>
  </si>
  <si>
    <t xml:space="preserve">Comment se propage la chaleur par rayonnement ? </t>
  </si>
  <si>
    <t xml:space="preserve">Par la masse du matériau </t>
  </si>
  <si>
    <t xml:space="preserve">Par projection de particules incandescentes </t>
  </si>
  <si>
    <t xml:space="preserve">Par déplacement de la fumée </t>
  </si>
  <si>
    <t xml:space="preserve">Par mouvement des gaz chauds </t>
  </si>
  <si>
    <t xml:space="preserve">Par l’intermédiaire d’ondes électromagnétiques </t>
  </si>
  <si>
    <t xml:space="preserve">Qu’est-ce que la conduction dans un feu ? </t>
  </si>
  <si>
    <t xml:space="preserve">Quels sont les modes de propagation d’un incendie ? </t>
  </si>
  <si>
    <t xml:space="preserve">Le rayonnement </t>
  </si>
  <si>
    <t xml:space="preserve">Les projections </t>
  </si>
  <si>
    <t xml:space="preserve">La conviction </t>
  </si>
  <si>
    <t xml:space="preserve">La conduction </t>
  </si>
  <si>
    <t xml:space="preserve">La fragmentation </t>
  </si>
  <si>
    <t xml:space="preserve">La convection </t>
  </si>
  <si>
    <t xml:space="preserve">À quoi s’applique la résistance au feu ? </t>
  </si>
  <si>
    <t xml:space="preserve">Aux matériaux utilisés pour l’ameublement </t>
  </si>
  <si>
    <t xml:space="preserve">Aux éléments de construction </t>
  </si>
  <si>
    <t xml:space="preserve">Aux revêtements de sol </t>
  </si>
  <si>
    <t xml:space="preserve">Aux piliers </t>
  </si>
  <si>
    <t xml:space="preserve">À la quantité de chaleur dégagée </t>
  </si>
  <si>
    <t xml:space="preserve">Comment sont exprimées les durées de résistance au feu, dans les euroclasses ? </t>
  </si>
  <si>
    <t xml:space="preserve">En secondes </t>
  </si>
  <si>
    <t xml:space="preserve">En minutes </t>
  </si>
  <si>
    <t xml:space="preserve">En heures </t>
  </si>
  <si>
    <t xml:space="preserve">En heures et minutes </t>
  </si>
  <si>
    <t xml:space="preserve">SF-PF-CF correspondent : </t>
  </si>
  <si>
    <t xml:space="preserve">À la résistance au feu des éléments de construction </t>
  </si>
  <si>
    <t xml:space="preserve">À la réaction au feu des matériaux de construction </t>
  </si>
  <si>
    <t xml:space="preserve">Aux niveaux d’accès du S.S.I </t>
  </si>
  <si>
    <t xml:space="preserve">Aux classements d’E.R.P </t>
  </si>
  <si>
    <t xml:space="preserve">La réaction au feu d’un matériau peut être notée : </t>
  </si>
  <si>
    <t xml:space="preserve">SF </t>
  </si>
  <si>
    <t xml:space="preserve">A1 </t>
  </si>
  <si>
    <t xml:space="preserve">CF </t>
  </si>
  <si>
    <t xml:space="preserve">MO </t>
  </si>
  <si>
    <t xml:space="preserve">M2 </t>
  </si>
  <si>
    <t xml:space="preserve">Le classement M1 correspond à : </t>
  </si>
  <si>
    <t xml:space="preserve">La résistance au feu d’une porte </t>
  </si>
  <si>
    <t xml:space="preserve">Le potentiel d’extinction d’un extincteur </t>
  </si>
  <si>
    <t xml:space="preserve">La réaction au feu d’un matériau </t>
  </si>
  <si>
    <t xml:space="preserve">La manœuvre mensuelle obligatoire </t>
  </si>
  <si>
    <t xml:space="preserve">Un classement de réaction au feu est demandé pour : </t>
  </si>
  <si>
    <t xml:space="preserve">Un revêtement mural </t>
  </si>
  <si>
    <t xml:space="preserve">Un rétroprojecteur </t>
  </si>
  <si>
    <t xml:space="preserve">Un revêtement de sol </t>
  </si>
  <si>
    <t xml:space="preserve">Un gros mobilier </t>
  </si>
  <si>
    <t xml:space="preserve">En ERP, donnez les principales règles pour le revêtement des escaliers encloisonnés ? </t>
  </si>
  <si>
    <t xml:space="preserve">M1 pour les murs </t>
  </si>
  <si>
    <t xml:space="preserve">M2 pour le sol </t>
  </si>
  <si>
    <t xml:space="preserve">M3 pour le plafond </t>
  </si>
  <si>
    <t xml:space="preserve">M4 pour le sol </t>
  </si>
  <si>
    <t xml:space="preserve">M1 pour le plafond </t>
  </si>
  <si>
    <t xml:space="preserve">M3 pour le sol </t>
  </si>
  <si>
    <t xml:space="preserve">La résistance au feu s’applique : </t>
  </si>
  <si>
    <t xml:space="preserve">Aux meubles </t>
  </si>
  <si>
    <t xml:space="preserve">Aux sapins de Noël </t>
  </si>
  <si>
    <t xml:space="preserve">Aux objets </t>
  </si>
  <si>
    <t xml:space="preserve">Un élément de construction qui résiste au feu peut être classé : </t>
  </si>
  <si>
    <t xml:space="preserve">Coupe-feu </t>
  </si>
  <si>
    <t xml:space="preserve">REI </t>
  </si>
  <si>
    <t xml:space="preserve">Pare-feu </t>
  </si>
  <si>
    <t xml:space="preserve">A.E.S. </t>
  </si>
  <si>
    <t xml:space="preserve">Stable au feu </t>
  </si>
  <si>
    <t xml:space="preserve">Quel établissement suivant est classé en type OA ? </t>
  </si>
  <si>
    <t xml:space="preserve">Un hôtel habité </t>
  </si>
  <si>
    <t xml:space="preserve">Un hôtel d’altitude </t>
  </si>
  <si>
    <t xml:space="preserve">Une habitation occupée </t>
  </si>
  <si>
    <t xml:space="preserve">Un organisme agréé </t>
  </si>
  <si>
    <t xml:space="preserve">Qu’est-ce qu’un établissement de type PA ? </t>
  </si>
  <si>
    <t xml:space="preserve">Un parc automobile </t>
  </si>
  <si>
    <t xml:space="preserve">Un stand de tir </t>
  </si>
  <si>
    <t xml:space="preserve">Un centre de formation professionnel pour adultes </t>
  </si>
  <si>
    <t xml:space="preserve">Parmi les établissements suivants, lesquels sont des ERP ? </t>
  </si>
  <si>
    <t xml:space="preserve">Un train de voyageur </t>
  </si>
  <si>
    <t xml:space="preserve">Un parc d’exposition </t>
  </si>
  <si>
    <t xml:space="preserve">Une salle de concert </t>
  </si>
  <si>
    <t xml:space="preserve">Un dépôt de gaz </t>
  </si>
  <si>
    <t xml:space="preserve">Une menuiserie </t>
  </si>
  <si>
    <t xml:space="preserve">Quel règlement de sécurité incendie est applicable aux E.R.P. du 1er groupe ? </t>
  </si>
  <si>
    <t xml:space="preserve">L’arrêté du 08 mai 1968 modifié </t>
  </si>
  <si>
    <t xml:space="preserve">L’arrêté du 18 octobre 1977 modifié </t>
  </si>
  <si>
    <t xml:space="preserve">L’arrêté du 25 juin 1980 modifié </t>
  </si>
  <si>
    <t xml:space="preserve">L’arrêté du 02 mai 2005 modifié </t>
  </si>
  <si>
    <t xml:space="preserve">L’arrêté du 23 août 2008 modifié </t>
  </si>
  <si>
    <t xml:space="preserve">Une maison d’accueil pour handicapés pouvant recevoir 308 personnes est classée : </t>
  </si>
  <si>
    <t xml:space="preserve">Type J </t>
  </si>
  <si>
    <t xml:space="preserve">Type U </t>
  </si>
  <si>
    <t xml:space="preserve">Type R </t>
  </si>
  <si>
    <t xml:space="preserve">2ème catégorie </t>
  </si>
  <si>
    <t xml:space="preserve">3ème catégorie </t>
  </si>
  <si>
    <t xml:space="preserve">4ème catégorie </t>
  </si>
  <si>
    <t xml:space="preserve">Les ERP sont classés par catégorie en fonction : </t>
  </si>
  <si>
    <t xml:space="preserve">Du nombre maximum de personnes admises </t>
  </si>
  <si>
    <t xml:space="preserve">Du nombre d’étages </t>
  </si>
  <si>
    <t xml:space="preserve">Du nombre de locaux </t>
  </si>
  <si>
    <t xml:space="preserve">Du nombre de sorties </t>
  </si>
  <si>
    <t xml:space="preserve">Les IGH à usage exclusif de bureaux sont classés de la façon suivante : </t>
  </si>
  <si>
    <t xml:space="preserve">GHZ </t>
  </si>
  <si>
    <t xml:space="preserve">GHR </t>
  </si>
  <si>
    <t xml:space="preserve">GHW1 </t>
  </si>
  <si>
    <t xml:space="preserve">GHW2 </t>
  </si>
  <si>
    <t xml:space="preserve">Le classement d’un bâtiment en immeuble de grande hauteur est déterminé d’après : </t>
  </si>
  <si>
    <t xml:space="preserve">La catégorie de l’établissement </t>
  </si>
  <si>
    <t xml:space="preserve">La surface accessible au public </t>
  </si>
  <si>
    <t xml:space="preserve">La hauteur du plancher bas du dernier niveau </t>
  </si>
  <si>
    <t xml:space="preserve">La commission de sécurité compétente </t>
  </si>
  <si>
    <t xml:space="preserve">Qu’est-ce qu’un GH S ? </t>
  </si>
  <si>
    <t xml:space="preserve">Un IGH à usage mixte </t>
  </si>
  <si>
    <t xml:space="preserve">Un IGH d’enseignement </t>
  </si>
  <si>
    <t xml:space="preserve">Un IGH d’habitation </t>
  </si>
  <si>
    <t xml:space="preserve">Un IGH d’archives </t>
  </si>
  <si>
    <t xml:space="preserve">Est considéré comme IGH, tout bâtiment dont le plancher bas du dernier niveau est situé à plus de : </t>
  </si>
  <si>
    <t xml:space="preserve">50 mètres pour les immeubles à usage d’habitation </t>
  </si>
  <si>
    <t xml:space="preserve">28 mètres pour les immeubles ne relevant pas de l’habitation </t>
  </si>
  <si>
    <t xml:space="preserve">28 mètres pour les immeubles à usage d’habitation </t>
  </si>
  <si>
    <t xml:space="preserve">Un immeuble à usage de bureau dont le plancher bas du dernier niveau est situé à 18 mètres de hauteur sera classé en : </t>
  </si>
  <si>
    <t xml:space="preserve">GH U </t>
  </si>
  <si>
    <t xml:space="preserve">GH W1 </t>
  </si>
  <si>
    <t xml:space="preserve">GH W2 </t>
  </si>
  <si>
    <t xml:space="preserve">GH Z </t>
  </si>
  <si>
    <t xml:space="preserve">Qu’est-ce qu’un GH U ? </t>
  </si>
  <si>
    <t xml:space="preserve">Un IGH à usage d’habitation </t>
  </si>
  <si>
    <t xml:space="preserve">Un IGH à usage de bureaux </t>
  </si>
  <si>
    <t xml:space="preserve">Un IGH à usage d’archives </t>
  </si>
  <si>
    <t xml:space="preserve">Qu’est-ce qu’un GH A ? </t>
  </si>
  <si>
    <t xml:space="preserve">Un IGH de bureaux </t>
  </si>
  <si>
    <t xml:space="preserve">Un IGH hôtelier </t>
  </si>
  <si>
    <t xml:space="preserve">Un IGH hospitalier </t>
  </si>
  <si>
    <t>BonneRéponse</t>
  </si>
  <si>
    <t>B,C,D</t>
  </si>
  <si>
    <t>A,C,D</t>
  </si>
  <si>
    <t>B,D</t>
  </si>
  <si>
    <t>A,B,D</t>
  </si>
  <si>
    <t>A,B,D,F</t>
  </si>
  <si>
    <t>La résistance au feu concerne la capacité des éléments de construction à conserver leurs fonctions (portance, étanchéité, isolation) pendant un temps donné en cas d’incendie. Elle ne s’applique pas aux meubles ou objets.</t>
  </si>
  <si>
    <t>Les euroclasses utilisent les critères R, E, I suivis d’un nombre en minutes (ex. REI 120 = coupe-feu pendant 120 minutes).</t>
  </si>
  <si>
    <t>SF = Stable au feu (résistance mécanique)
PF = Pare-flammes (étanchéité aux flammes)
CF = Coupe-feu (étanchéité + isolation thermique)</t>
  </si>
  <si>
    <t>B,D,E</t>
  </si>
  <si>
    <t>A1 = Euroclasse (incombustible)
M0, M1, M2, M3, M4 = Classement français (réaction au feu)
SF et CF concernent la résistance au feu, pas la réaction.</t>
  </si>
  <si>
    <r>
      <t xml:space="preserve">M1 = matériau combustible mais </t>
    </r>
    <r>
      <rPr>
        <b/>
        <sz val="11"/>
        <color theme="1"/>
        <rFont val="Segoe UI"/>
        <family val="2"/>
      </rPr>
      <t>non inflammable</t>
    </r>
    <r>
      <rPr>
        <sz val="11"/>
        <color theme="1"/>
        <rFont val="Segoe UI"/>
        <family val="2"/>
      </rPr>
      <t xml:space="preserve"> (ex. PVC rigide, composites).</t>
    </r>
  </si>
  <si>
    <t>Comentaire</t>
  </si>
  <si>
    <t>A,C</t>
  </si>
  <si>
    <t>Les revêtements (murs, sols, plafonds) doivent respecter des exigences de réaction au feu (M1, M2, M3 selon zones). Les gros mobiliers sont généralement exclus.</t>
  </si>
  <si>
    <t>A,E,F</t>
  </si>
  <si>
    <t>C’est la règle du 311 : murs et plafonds M1, sols M3.</t>
  </si>
  <si>
    <t>Elle concerne les structures (poteaux, murs, planchers, portes), pas les meubles ou objets.</t>
  </si>
  <si>
    <t>A,B,C,E</t>
  </si>
  <si>
    <t>SF, PF, CF = ancien système français
REI = système européen (R = portance, E = étanchéité, I = isolation)</t>
  </si>
  <si>
    <t>B,C</t>
  </si>
  <si>
    <t>A,E</t>
  </si>
  <si>
    <t>C,D</t>
  </si>
  <si>
    <t>A,B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</si>
</sst>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scheme val="minor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0" tint="-0.249977111117893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1"/>
      <color theme="1"/>
      <name val="Segoe UI"/>
      <family val="2"/>
    </font>
    <font>
      <b/>
      <sz val="11"/>
      <color theme="1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0" fillId="3" borderId="0" xfId="0" applyFill="1" applyAlignment="1">
      <alignment vertical="top"/>
    </xf>
    <xf numFmtId="0" fontId="0" fillId="2" borderId="0" xfId="0" applyFill="1" applyAlignment="1">
      <alignment vertical="top"/>
    </xf>
    <xf numFmtId="0" fontId="5" fillId="0" borderId="0" xfId="0" applyFont="1"/>
    <xf numFmtId="0" fontId="6" fillId="0" borderId="0" xfId="1" applyFont="1" applyAlignment="1">
      <alignment vertical="top"/>
    </xf>
    <xf numFmtId="0" fontId="4" fillId="4" borderId="0" xfId="1" applyFont="1" applyFill="1" applyAlignment="1">
      <alignment vertical="top"/>
    </xf>
    <xf numFmtId="0" fontId="7" fillId="4" borderId="0" xfId="1" applyFont="1" applyFill="1" applyAlignment="1">
      <alignment vertical="top"/>
    </xf>
    <xf numFmtId="0" fontId="8" fillId="0" borderId="0" xfId="0" applyFont="1" applyAlignment="1">
      <alignment vertical="top"/>
    </xf>
    <xf numFmtId="0" fontId="9" fillId="0" borderId="0" xfId="0" applyFont="1" applyAlignment="1">
      <alignment vertical="center"/>
    </xf>
  </cellXfs>
  <cellStyles count="2">
    <cellStyle name="Normal" xfId="0" builtinId="0"/>
    <cellStyle name="Normal 2" xfId="1" xr:uid="{739EAF5D-6DEC-4933-BEAA-58326FF9FE6A}"/>
  </cellStyles>
  <dxfs count="20"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  <dxf>
      <fill>
        <patternFill>
          <bgColor rgb="FFCCFF66"/>
        </patternFill>
      </fill>
    </dxf>
  </dxfs>
  <tableStyles count="0" defaultTableStyle="TableStyleMedium9" defaultPivotStyle="PivotStyleLight16"/>
  <colors>
    <mruColors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802DA-34CD-4211-BA22-9CD46B1FAA70}">
  <sheetPr>
    <tabColor rgb="FFFF0000"/>
  </sheetPr>
  <dimension ref="A1:B94"/>
  <sheetViews>
    <sheetView workbookViewId="0">
      <pane ySplit="1" topLeftCell="A2" activePane="bottomLeft" state="frozen"/>
      <selection pane="bottomLeft"/>
    </sheetView>
  </sheetViews>
  <sheetFormatPr baseColWidth="10" defaultRowHeight="15" x14ac:dyDescent="0.25"/>
  <cols>
    <col min="1" max="1" width="11.42578125" style="2"/>
    <col min="2" max="2" width="38.140625" style="2" customWidth="1"/>
    <col min="3" max="16384" width="11.42578125" style="2"/>
  </cols>
  <sheetData>
    <row r="1" spans="1:2" x14ac:dyDescent="0.25">
      <c r="A1" s="11" t="s">
        <v>45</v>
      </c>
      <c r="B1" s="11" t="s">
        <v>46</v>
      </c>
    </row>
    <row r="2" spans="1:2" x14ac:dyDescent="0.25">
      <c r="A2" s="2" t="s">
        <v>47</v>
      </c>
      <c r="B2" s="2" t="s">
        <v>48</v>
      </c>
    </row>
    <row r="3" spans="1:2" x14ac:dyDescent="0.25">
      <c r="A3" s="2" t="s">
        <v>49</v>
      </c>
      <c r="B3" s="2" t="s">
        <v>50</v>
      </c>
    </row>
    <row r="4" spans="1:2" x14ac:dyDescent="0.25">
      <c r="A4" s="2" t="s">
        <v>51</v>
      </c>
      <c r="B4" s="2" t="s">
        <v>52</v>
      </c>
    </row>
    <row r="5" spans="1:2" x14ac:dyDescent="0.25">
      <c r="A5" s="2" t="s">
        <v>53</v>
      </c>
      <c r="B5" s="2" t="s">
        <v>54</v>
      </c>
    </row>
    <row r="6" spans="1:2" x14ac:dyDescent="0.25">
      <c r="A6" s="2" t="s">
        <v>55</v>
      </c>
      <c r="B6" s="2" t="s">
        <v>56</v>
      </c>
    </row>
    <row r="7" spans="1:2" x14ac:dyDescent="0.25">
      <c r="A7" s="2" t="s">
        <v>57</v>
      </c>
      <c r="B7" s="2" t="s">
        <v>58</v>
      </c>
    </row>
    <row r="8" spans="1:2" x14ac:dyDescent="0.25">
      <c r="A8" s="2" t="s">
        <v>59</v>
      </c>
      <c r="B8" s="2" t="s">
        <v>60</v>
      </c>
    </row>
    <row r="9" spans="1:2" x14ac:dyDescent="0.25">
      <c r="A9" s="2" t="s">
        <v>61</v>
      </c>
      <c r="B9" s="2" t="s">
        <v>62</v>
      </c>
    </row>
    <row r="10" spans="1:2" x14ac:dyDescent="0.25">
      <c r="A10" s="2" t="s">
        <v>63</v>
      </c>
      <c r="B10" s="2" t="s">
        <v>64</v>
      </c>
    </row>
    <row r="11" spans="1:2" x14ac:dyDescent="0.25">
      <c r="A11" s="2" t="s">
        <v>65</v>
      </c>
      <c r="B11" s="2" t="s">
        <v>66</v>
      </c>
    </row>
    <row r="12" spans="1:2" x14ac:dyDescent="0.25">
      <c r="A12" s="2" t="s">
        <v>67</v>
      </c>
      <c r="B12" s="2" t="s">
        <v>68</v>
      </c>
    </row>
    <row r="13" spans="1:2" x14ac:dyDescent="0.25">
      <c r="A13" s="2" t="s">
        <v>69</v>
      </c>
      <c r="B13" s="2" t="s">
        <v>70</v>
      </c>
    </row>
    <row r="14" spans="1:2" x14ac:dyDescent="0.25">
      <c r="A14" s="2" t="s">
        <v>71</v>
      </c>
      <c r="B14" s="2" t="s">
        <v>72</v>
      </c>
    </row>
    <row r="15" spans="1:2" x14ac:dyDescent="0.25">
      <c r="A15" s="2" t="s">
        <v>73</v>
      </c>
      <c r="B15" s="2" t="s">
        <v>74</v>
      </c>
    </row>
    <row r="16" spans="1:2" x14ac:dyDescent="0.25">
      <c r="A16" s="2" t="s">
        <v>75</v>
      </c>
      <c r="B16" s="2" t="s">
        <v>76</v>
      </c>
    </row>
    <row r="17" spans="1:2" x14ac:dyDescent="0.25">
      <c r="A17" s="2" t="s">
        <v>77</v>
      </c>
      <c r="B17" s="2" t="s">
        <v>78</v>
      </c>
    </row>
    <row r="18" spans="1:2" x14ac:dyDescent="0.25">
      <c r="A18" s="2" t="s">
        <v>79</v>
      </c>
      <c r="B18" s="2" t="s">
        <v>80</v>
      </c>
    </row>
    <row r="19" spans="1:2" x14ac:dyDescent="0.25">
      <c r="A19" s="2" t="s">
        <v>81</v>
      </c>
      <c r="B19" s="2" t="s">
        <v>82</v>
      </c>
    </row>
    <row r="20" spans="1:2" x14ac:dyDescent="0.25">
      <c r="A20" s="2" t="s">
        <v>83</v>
      </c>
      <c r="B20" s="2" t="s">
        <v>84</v>
      </c>
    </row>
    <row r="21" spans="1:2" x14ac:dyDescent="0.25">
      <c r="A21" s="2" t="s">
        <v>85</v>
      </c>
      <c r="B21" s="2" t="s">
        <v>86</v>
      </c>
    </row>
    <row r="22" spans="1:2" x14ac:dyDescent="0.25">
      <c r="A22" s="2" t="s">
        <v>33</v>
      </c>
      <c r="B22" s="2" t="s">
        <v>87</v>
      </c>
    </row>
    <row r="23" spans="1:2" x14ac:dyDescent="0.25">
      <c r="A23" s="2" t="s">
        <v>88</v>
      </c>
      <c r="B23" s="2" t="s">
        <v>89</v>
      </c>
    </row>
    <row r="24" spans="1:2" x14ac:dyDescent="0.25">
      <c r="A24" s="2" t="s">
        <v>90</v>
      </c>
      <c r="B24" s="2" t="s">
        <v>91</v>
      </c>
    </row>
    <row r="25" spans="1:2" x14ac:dyDescent="0.25">
      <c r="A25" s="2" t="s">
        <v>92</v>
      </c>
      <c r="B25" s="2" t="s">
        <v>93</v>
      </c>
    </row>
    <row r="26" spans="1:2" x14ac:dyDescent="0.25">
      <c r="A26" s="2" t="s">
        <v>94</v>
      </c>
      <c r="B26" s="2" t="s">
        <v>95</v>
      </c>
    </row>
    <row r="27" spans="1:2" x14ac:dyDescent="0.25">
      <c r="A27" s="2" t="s">
        <v>96</v>
      </c>
      <c r="B27" s="2" t="s">
        <v>97</v>
      </c>
    </row>
    <row r="28" spans="1:2" x14ac:dyDescent="0.25">
      <c r="A28" s="2" t="s">
        <v>98</v>
      </c>
      <c r="B28" s="2" t="s">
        <v>99</v>
      </c>
    </row>
    <row r="29" spans="1:2" x14ac:dyDescent="0.25">
      <c r="A29" s="2" t="s">
        <v>32</v>
      </c>
      <c r="B29" s="2" t="s">
        <v>100</v>
      </c>
    </row>
    <row r="30" spans="1:2" x14ac:dyDescent="0.25">
      <c r="A30" s="2" t="s">
        <v>101</v>
      </c>
      <c r="B30" s="2" t="s">
        <v>102</v>
      </c>
    </row>
    <row r="31" spans="1:2" x14ac:dyDescent="0.25">
      <c r="A31" s="2" t="s">
        <v>103</v>
      </c>
      <c r="B31" s="2" t="s">
        <v>104</v>
      </c>
    </row>
    <row r="32" spans="1:2" x14ac:dyDescent="0.25">
      <c r="A32" s="2" t="s">
        <v>105</v>
      </c>
      <c r="B32" s="2" t="s">
        <v>106</v>
      </c>
    </row>
    <row r="33" spans="1:2" x14ac:dyDescent="0.25">
      <c r="A33" s="2" t="s">
        <v>107</v>
      </c>
      <c r="B33" s="2" t="s">
        <v>108</v>
      </c>
    </row>
    <row r="34" spans="1:2" x14ac:dyDescent="0.25">
      <c r="A34" s="2" t="s">
        <v>109</v>
      </c>
      <c r="B34" s="2" t="s">
        <v>110</v>
      </c>
    </row>
    <row r="35" spans="1:2" x14ac:dyDescent="0.25">
      <c r="A35" s="2" t="s">
        <v>111</v>
      </c>
      <c r="B35" s="2" t="s">
        <v>112</v>
      </c>
    </row>
    <row r="36" spans="1:2" x14ac:dyDescent="0.25">
      <c r="A36" s="2" t="s">
        <v>113</v>
      </c>
      <c r="B36" s="2" t="s">
        <v>114</v>
      </c>
    </row>
    <row r="37" spans="1:2" x14ac:dyDescent="0.25">
      <c r="A37" s="2" t="s">
        <v>115</v>
      </c>
      <c r="B37" s="2" t="s">
        <v>116</v>
      </c>
    </row>
    <row r="38" spans="1:2" x14ac:dyDescent="0.25">
      <c r="A38" s="2" t="s">
        <v>117</v>
      </c>
      <c r="B38" s="2" t="s">
        <v>118</v>
      </c>
    </row>
    <row r="39" spans="1:2" x14ac:dyDescent="0.25">
      <c r="A39" s="2" t="s">
        <v>119</v>
      </c>
      <c r="B39" s="2" t="s">
        <v>120</v>
      </c>
    </row>
    <row r="40" spans="1:2" x14ac:dyDescent="0.25">
      <c r="A40" s="2" t="s">
        <v>121</v>
      </c>
      <c r="B40" s="2" t="s">
        <v>122</v>
      </c>
    </row>
    <row r="41" spans="1:2" x14ac:dyDescent="0.25">
      <c r="A41" s="2" t="s">
        <v>123</v>
      </c>
      <c r="B41" s="2" t="s">
        <v>124</v>
      </c>
    </row>
    <row r="42" spans="1:2" x14ac:dyDescent="0.25">
      <c r="A42" s="2" t="s">
        <v>125</v>
      </c>
      <c r="B42" s="2" t="s">
        <v>126</v>
      </c>
    </row>
    <row r="43" spans="1:2" x14ac:dyDescent="0.25">
      <c r="A43" s="2" t="s">
        <v>127</v>
      </c>
      <c r="B43" s="2" t="s">
        <v>30</v>
      </c>
    </row>
    <row r="44" spans="1:2" x14ac:dyDescent="0.25">
      <c r="A44" s="2" t="s">
        <v>128</v>
      </c>
      <c r="B44" s="2" t="s">
        <v>129</v>
      </c>
    </row>
    <row r="45" spans="1:2" x14ac:dyDescent="0.25">
      <c r="A45" s="2" t="s">
        <v>130</v>
      </c>
      <c r="B45" s="2" t="s">
        <v>131</v>
      </c>
    </row>
    <row r="46" spans="1:2" x14ac:dyDescent="0.25">
      <c r="A46" s="2" t="s">
        <v>132</v>
      </c>
      <c r="B46" s="2" t="s">
        <v>133</v>
      </c>
    </row>
    <row r="47" spans="1:2" x14ac:dyDescent="0.25">
      <c r="A47" s="2" t="s">
        <v>134</v>
      </c>
      <c r="B47" s="2" t="s">
        <v>135</v>
      </c>
    </row>
    <row r="48" spans="1:2" x14ac:dyDescent="0.25">
      <c r="A48" s="2" t="s">
        <v>136</v>
      </c>
      <c r="B48" s="2" t="s">
        <v>137</v>
      </c>
    </row>
    <row r="49" spans="1:2" x14ac:dyDescent="0.25">
      <c r="A49" s="2" t="s">
        <v>138</v>
      </c>
      <c r="B49" s="2" t="s">
        <v>31</v>
      </c>
    </row>
    <row r="50" spans="1:2" x14ac:dyDescent="0.25">
      <c r="A50" s="2" t="s">
        <v>139</v>
      </c>
      <c r="B50" s="2" t="s">
        <v>140</v>
      </c>
    </row>
    <row r="51" spans="1:2" x14ac:dyDescent="0.25">
      <c r="A51" s="2" t="s">
        <v>141</v>
      </c>
      <c r="B51" s="2" t="s">
        <v>142</v>
      </c>
    </row>
    <row r="52" spans="1:2" x14ac:dyDescent="0.25">
      <c r="A52" s="2" t="s">
        <v>143</v>
      </c>
      <c r="B52" s="2" t="s">
        <v>144</v>
      </c>
    </row>
    <row r="53" spans="1:2" x14ac:dyDescent="0.25">
      <c r="A53" s="2" t="s">
        <v>145</v>
      </c>
      <c r="B53" s="2" t="s">
        <v>146</v>
      </c>
    </row>
    <row r="54" spans="1:2" x14ac:dyDescent="0.25">
      <c r="A54" s="2" t="s">
        <v>147</v>
      </c>
      <c r="B54" s="2" t="s">
        <v>148</v>
      </c>
    </row>
    <row r="55" spans="1:2" x14ac:dyDescent="0.25">
      <c r="A55" s="2" t="s">
        <v>149</v>
      </c>
      <c r="B55" s="2" t="s">
        <v>150</v>
      </c>
    </row>
    <row r="56" spans="1:2" x14ac:dyDescent="0.25">
      <c r="A56" s="2" t="s">
        <v>151</v>
      </c>
      <c r="B56" s="2" t="s">
        <v>152</v>
      </c>
    </row>
    <row r="57" spans="1:2" x14ac:dyDescent="0.25">
      <c r="A57" s="2" t="s">
        <v>153</v>
      </c>
      <c r="B57" s="2" t="s">
        <v>154</v>
      </c>
    </row>
    <row r="58" spans="1:2" x14ac:dyDescent="0.25">
      <c r="A58" s="2" t="s">
        <v>155</v>
      </c>
      <c r="B58" s="2" t="s">
        <v>156</v>
      </c>
    </row>
    <row r="59" spans="1:2" x14ac:dyDescent="0.25">
      <c r="A59" s="2" t="s">
        <v>157</v>
      </c>
      <c r="B59" s="2" t="s">
        <v>158</v>
      </c>
    </row>
    <row r="60" spans="1:2" x14ac:dyDescent="0.25">
      <c r="A60" s="2" t="s">
        <v>159</v>
      </c>
      <c r="B60" s="2" t="s">
        <v>160</v>
      </c>
    </row>
    <row r="61" spans="1:2" x14ac:dyDescent="0.25">
      <c r="A61" s="2" t="s">
        <v>161</v>
      </c>
      <c r="B61" s="2" t="s">
        <v>162</v>
      </c>
    </row>
    <row r="62" spans="1:2" x14ac:dyDescent="0.25">
      <c r="A62" s="2" t="s">
        <v>163</v>
      </c>
      <c r="B62" s="2" t="s">
        <v>164</v>
      </c>
    </row>
    <row r="63" spans="1:2" x14ac:dyDescent="0.25">
      <c r="A63" s="2" t="s">
        <v>165</v>
      </c>
      <c r="B63" s="2" t="s">
        <v>166</v>
      </c>
    </row>
    <row r="64" spans="1:2" x14ac:dyDescent="0.25">
      <c r="A64" s="2" t="s">
        <v>167</v>
      </c>
      <c r="B64" s="2" t="s">
        <v>168</v>
      </c>
    </row>
    <row r="65" spans="1:2" x14ac:dyDescent="0.25">
      <c r="A65" s="2" t="s">
        <v>169</v>
      </c>
      <c r="B65" s="2" t="s">
        <v>170</v>
      </c>
    </row>
    <row r="66" spans="1:2" x14ac:dyDescent="0.25">
      <c r="A66" s="2" t="s">
        <v>171</v>
      </c>
      <c r="B66" s="2" t="s">
        <v>172</v>
      </c>
    </row>
    <row r="67" spans="1:2" x14ac:dyDescent="0.25">
      <c r="A67" s="2" t="s">
        <v>173</v>
      </c>
      <c r="B67" s="2" t="s">
        <v>174</v>
      </c>
    </row>
    <row r="68" spans="1:2" x14ac:dyDescent="0.25">
      <c r="A68" s="2" t="s">
        <v>175</v>
      </c>
      <c r="B68" s="2" t="s">
        <v>176</v>
      </c>
    </row>
    <row r="69" spans="1:2" x14ac:dyDescent="0.25">
      <c r="A69" s="2" t="s">
        <v>35</v>
      </c>
      <c r="B69" s="2" t="s">
        <v>177</v>
      </c>
    </row>
    <row r="70" spans="1:2" x14ac:dyDescent="0.25">
      <c r="A70" s="2" t="s">
        <v>178</v>
      </c>
      <c r="B70" s="2" t="s">
        <v>179</v>
      </c>
    </row>
    <row r="71" spans="1:2" x14ac:dyDescent="0.25">
      <c r="A71" s="2" t="s">
        <v>34</v>
      </c>
      <c r="B71" s="2" t="s">
        <v>180</v>
      </c>
    </row>
    <row r="72" spans="1:2" x14ac:dyDescent="0.25">
      <c r="A72" s="2" t="s">
        <v>181</v>
      </c>
      <c r="B72" s="2" t="s">
        <v>182</v>
      </c>
    </row>
    <row r="73" spans="1:2" x14ac:dyDescent="0.25">
      <c r="A73" s="2" t="s">
        <v>183</v>
      </c>
      <c r="B73" s="2" t="s">
        <v>184</v>
      </c>
    </row>
    <row r="74" spans="1:2" x14ac:dyDescent="0.25">
      <c r="A74" s="2" t="s">
        <v>185</v>
      </c>
      <c r="B74" s="2" t="s">
        <v>186</v>
      </c>
    </row>
    <row r="75" spans="1:2" x14ac:dyDescent="0.25">
      <c r="A75" s="2" t="s">
        <v>187</v>
      </c>
      <c r="B75" s="2" t="s">
        <v>188</v>
      </c>
    </row>
    <row r="76" spans="1:2" x14ac:dyDescent="0.25">
      <c r="A76" s="2" t="s">
        <v>189</v>
      </c>
      <c r="B76" s="2" t="s">
        <v>190</v>
      </c>
    </row>
    <row r="77" spans="1:2" x14ac:dyDescent="0.25">
      <c r="A77" s="2" t="s">
        <v>191</v>
      </c>
      <c r="B77" s="2" t="s">
        <v>192</v>
      </c>
    </row>
    <row r="78" spans="1:2" x14ac:dyDescent="0.25">
      <c r="A78" s="2" t="s">
        <v>193</v>
      </c>
      <c r="B78" s="2" t="s">
        <v>194</v>
      </c>
    </row>
    <row r="79" spans="1:2" x14ac:dyDescent="0.25">
      <c r="A79" s="2" t="s">
        <v>195</v>
      </c>
      <c r="B79" s="2" t="s">
        <v>196</v>
      </c>
    </row>
    <row r="80" spans="1:2" x14ac:dyDescent="0.25">
      <c r="A80" s="2" t="s">
        <v>197</v>
      </c>
      <c r="B80" s="2" t="s">
        <v>198</v>
      </c>
    </row>
    <row r="81" spans="1:2" x14ac:dyDescent="0.25">
      <c r="A81" s="2" t="s">
        <v>199</v>
      </c>
      <c r="B81" s="2" t="s">
        <v>200</v>
      </c>
    </row>
    <row r="82" spans="1:2" x14ac:dyDescent="0.25">
      <c r="A82" s="2" t="s">
        <v>201</v>
      </c>
      <c r="B82" s="2" t="s">
        <v>202</v>
      </c>
    </row>
    <row r="83" spans="1:2" x14ac:dyDescent="0.25">
      <c r="A83" s="2" t="s">
        <v>203</v>
      </c>
      <c r="B83" s="2" t="s">
        <v>204</v>
      </c>
    </row>
    <row r="84" spans="1:2" x14ac:dyDescent="0.25">
      <c r="A84" s="2" t="s">
        <v>205</v>
      </c>
      <c r="B84" s="2" t="s">
        <v>206</v>
      </c>
    </row>
    <row r="85" spans="1:2" x14ac:dyDescent="0.25">
      <c r="A85" s="2" t="s">
        <v>207</v>
      </c>
      <c r="B85" s="2" t="s">
        <v>208</v>
      </c>
    </row>
    <row r="86" spans="1:2" x14ac:dyDescent="0.25">
      <c r="A86" s="2" t="s">
        <v>209</v>
      </c>
      <c r="B86" s="2" t="s">
        <v>210</v>
      </c>
    </row>
    <row r="87" spans="1:2" x14ac:dyDescent="0.25">
      <c r="A87" s="2" t="s">
        <v>211</v>
      </c>
      <c r="B87" s="2" t="s">
        <v>212</v>
      </c>
    </row>
    <row r="88" spans="1:2" x14ac:dyDescent="0.25">
      <c r="A88" s="2" t="s">
        <v>213</v>
      </c>
      <c r="B88" s="2" t="s">
        <v>214</v>
      </c>
    </row>
    <row r="89" spans="1:2" x14ac:dyDescent="0.25">
      <c r="A89" s="2" t="s">
        <v>215</v>
      </c>
      <c r="B89" s="2" t="s">
        <v>216</v>
      </c>
    </row>
    <row r="90" spans="1:2" x14ac:dyDescent="0.25">
      <c r="A90" s="2" t="s">
        <v>217</v>
      </c>
      <c r="B90" s="2" t="s">
        <v>218</v>
      </c>
    </row>
    <row r="91" spans="1:2" x14ac:dyDescent="0.25">
      <c r="A91" s="2" t="s">
        <v>219</v>
      </c>
      <c r="B91" s="2" t="s">
        <v>220</v>
      </c>
    </row>
    <row r="92" spans="1:2" x14ac:dyDescent="0.25">
      <c r="A92" s="2" t="s">
        <v>221</v>
      </c>
      <c r="B92" s="2" t="s">
        <v>222</v>
      </c>
    </row>
    <row r="93" spans="1:2" x14ac:dyDescent="0.25">
      <c r="A93" s="2" t="s">
        <v>223</v>
      </c>
      <c r="B93" s="2" t="s">
        <v>224</v>
      </c>
    </row>
    <row r="94" spans="1:2" x14ac:dyDescent="0.25">
      <c r="A94" s="2" t="s">
        <v>225</v>
      </c>
      <c r="B94" s="2" t="s">
        <v>226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L37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8.5703125" style="5" customWidth="1"/>
    <col min="2" max="2" width="9.140625" style="5"/>
    <col min="3" max="3" width="59.28515625" style="2" customWidth="1"/>
    <col min="4" max="10" width="25.42578125" style="2" customWidth="1"/>
    <col min="11" max="11" width="9.140625" style="6"/>
    <col min="12" max="12" width="50" style="2" customWidth="1"/>
    <col min="13" max="16384" width="9.140625" style="2"/>
  </cols>
  <sheetData>
    <row r="1" spans="1:12" x14ac:dyDescent="0.25">
      <c r="A1" s="4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246</v>
      </c>
      <c r="K1" s="3" t="s">
        <v>470</v>
      </c>
      <c r="L1" s="2" t="s">
        <v>482</v>
      </c>
    </row>
    <row r="2" spans="1:12" x14ac:dyDescent="0.25">
      <c r="A2" s="5" t="s">
        <v>228</v>
      </c>
      <c r="B2" s="5" t="s">
        <v>9</v>
      </c>
      <c r="C2" s="2" t="s">
        <v>283</v>
      </c>
      <c r="D2" s="2" t="s">
        <v>244</v>
      </c>
      <c r="E2" s="2" t="s">
        <v>284</v>
      </c>
      <c r="F2" s="2" t="s">
        <v>285</v>
      </c>
      <c r="G2" s="2" t="s">
        <v>286</v>
      </c>
      <c r="H2" s="2" t="s">
        <v>29</v>
      </c>
      <c r="K2" s="6" t="s">
        <v>19</v>
      </c>
    </row>
    <row r="3" spans="1:12" x14ac:dyDescent="0.25">
      <c r="A3" s="5" t="s">
        <v>228</v>
      </c>
      <c r="B3" s="5" t="s">
        <v>11</v>
      </c>
      <c r="C3" s="2" t="s">
        <v>287</v>
      </c>
      <c r="D3" s="2" t="s">
        <v>288</v>
      </c>
      <c r="E3" s="2" t="s">
        <v>289</v>
      </c>
      <c r="F3" s="2" t="s">
        <v>290</v>
      </c>
      <c r="G3" s="2" t="s">
        <v>245</v>
      </c>
      <c r="H3" s="2" t="s">
        <v>291</v>
      </c>
      <c r="I3" s="2" t="s">
        <v>292</v>
      </c>
      <c r="J3" s="2" t="s">
        <v>29</v>
      </c>
      <c r="K3" s="6" t="s">
        <v>471</v>
      </c>
    </row>
    <row r="4" spans="1:12" x14ac:dyDescent="0.25">
      <c r="A4" s="5" t="s">
        <v>228</v>
      </c>
      <c r="B4" s="5" t="s">
        <v>13</v>
      </c>
      <c r="C4" s="2" t="s">
        <v>293</v>
      </c>
      <c r="D4" s="2" t="s">
        <v>294</v>
      </c>
      <c r="E4" s="2" t="s">
        <v>288</v>
      </c>
      <c r="F4" s="2" t="s">
        <v>295</v>
      </c>
      <c r="G4" s="2" t="s">
        <v>296</v>
      </c>
      <c r="H4" s="2" t="s">
        <v>297</v>
      </c>
      <c r="I4" s="2" t="s">
        <v>29</v>
      </c>
      <c r="K4" s="6" t="s">
        <v>10</v>
      </c>
    </row>
    <row r="5" spans="1:12" x14ac:dyDescent="0.25">
      <c r="A5" s="5" t="s">
        <v>228</v>
      </c>
      <c r="B5" s="5" t="s">
        <v>14</v>
      </c>
      <c r="C5" s="2" t="s">
        <v>298</v>
      </c>
      <c r="D5" s="2" t="s">
        <v>299</v>
      </c>
      <c r="E5" s="2" t="s">
        <v>300</v>
      </c>
      <c r="F5" s="2" t="s">
        <v>301</v>
      </c>
      <c r="G5" s="2" t="s">
        <v>302</v>
      </c>
      <c r="H5" s="2" t="s">
        <v>303</v>
      </c>
      <c r="I5" s="2" t="s">
        <v>29</v>
      </c>
      <c r="K5" s="6" t="s">
        <v>10</v>
      </c>
    </row>
    <row r="6" spans="1:12" x14ac:dyDescent="0.25">
      <c r="A6" s="5" t="s">
        <v>228</v>
      </c>
      <c r="B6" s="5" t="s">
        <v>15</v>
      </c>
      <c r="C6" s="2" t="s">
        <v>304</v>
      </c>
      <c r="D6" s="2" t="s">
        <v>305</v>
      </c>
      <c r="E6" s="2" t="s">
        <v>306</v>
      </c>
      <c r="F6" s="2" t="s">
        <v>307</v>
      </c>
      <c r="G6" s="2" t="s">
        <v>308</v>
      </c>
      <c r="H6" s="2" t="s">
        <v>309</v>
      </c>
      <c r="I6" s="2" t="s">
        <v>29</v>
      </c>
      <c r="K6" s="6" t="s">
        <v>19</v>
      </c>
    </row>
    <row r="7" spans="1:12" x14ac:dyDescent="0.25">
      <c r="A7" s="5" t="s">
        <v>228</v>
      </c>
      <c r="B7" s="5" t="s">
        <v>17</v>
      </c>
      <c r="C7" s="2" t="s">
        <v>310</v>
      </c>
      <c r="D7" s="2" t="s">
        <v>311</v>
      </c>
      <c r="E7" s="2" t="s">
        <v>312</v>
      </c>
      <c r="F7" s="2" t="s">
        <v>313</v>
      </c>
      <c r="G7" s="2" t="s">
        <v>314</v>
      </c>
      <c r="H7" s="2" t="s">
        <v>315</v>
      </c>
      <c r="I7" s="2" t="s">
        <v>29</v>
      </c>
      <c r="K7" s="6" t="s">
        <v>472</v>
      </c>
    </row>
    <row r="8" spans="1:12" x14ac:dyDescent="0.25">
      <c r="A8" s="5" t="s">
        <v>228</v>
      </c>
      <c r="B8" s="5" t="s">
        <v>18</v>
      </c>
      <c r="C8" s="2" t="s">
        <v>316</v>
      </c>
      <c r="D8" s="2" t="s">
        <v>317</v>
      </c>
      <c r="E8" s="2" t="s">
        <v>318</v>
      </c>
      <c r="F8" s="2" t="s">
        <v>319</v>
      </c>
      <c r="G8" s="2" t="s">
        <v>320</v>
      </c>
      <c r="H8" s="2" t="s">
        <v>321</v>
      </c>
      <c r="I8" s="2" t="s">
        <v>29</v>
      </c>
      <c r="K8" s="6" t="s">
        <v>471</v>
      </c>
    </row>
    <row r="9" spans="1:12" x14ac:dyDescent="0.25">
      <c r="A9" s="5" t="s">
        <v>228</v>
      </c>
      <c r="B9" s="5" t="s">
        <v>20</v>
      </c>
      <c r="C9" s="2" t="s">
        <v>322</v>
      </c>
      <c r="D9" s="2" t="s">
        <v>323</v>
      </c>
      <c r="E9" s="2" t="s">
        <v>324</v>
      </c>
      <c r="F9" s="2" t="s">
        <v>325</v>
      </c>
      <c r="G9" s="2" t="s">
        <v>326</v>
      </c>
      <c r="H9" s="2" t="s">
        <v>29</v>
      </c>
      <c r="K9" s="6" t="s">
        <v>10</v>
      </c>
    </row>
    <row r="10" spans="1:12" x14ac:dyDescent="0.25">
      <c r="A10" s="5" t="s">
        <v>228</v>
      </c>
      <c r="B10" s="5" t="s">
        <v>22</v>
      </c>
      <c r="C10" s="2" t="s">
        <v>327</v>
      </c>
      <c r="D10" s="2" t="s">
        <v>328</v>
      </c>
      <c r="E10" s="2" t="s">
        <v>329</v>
      </c>
      <c r="F10" s="2" t="s">
        <v>330</v>
      </c>
      <c r="G10" s="2" t="s">
        <v>331</v>
      </c>
      <c r="H10" s="2" t="s">
        <v>29</v>
      </c>
      <c r="K10" s="6" t="s">
        <v>473</v>
      </c>
    </row>
    <row r="11" spans="1:12" x14ac:dyDescent="0.25">
      <c r="A11" s="5" t="s">
        <v>228</v>
      </c>
      <c r="B11" s="5" t="s">
        <v>23</v>
      </c>
      <c r="C11" s="2" t="s">
        <v>332</v>
      </c>
      <c r="D11" s="2" t="s">
        <v>333</v>
      </c>
      <c r="E11" s="2" t="s">
        <v>334</v>
      </c>
      <c r="F11" s="2" t="s">
        <v>335</v>
      </c>
      <c r="G11" s="2" t="s">
        <v>336</v>
      </c>
      <c r="H11" s="2" t="s">
        <v>302</v>
      </c>
      <c r="I11" s="2" t="s">
        <v>29</v>
      </c>
      <c r="K11" s="6" t="s">
        <v>474</v>
      </c>
    </row>
    <row r="12" spans="1:12" x14ac:dyDescent="0.25">
      <c r="A12" s="5" t="s">
        <v>228</v>
      </c>
      <c r="B12" s="5" t="s">
        <v>24</v>
      </c>
      <c r="C12" s="2" t="s">
        <v>337</v>
      </c>
      <c r="D12" s="2" t="s">
        <v>338</v>
      </c>
      <c r="E12" s="2" t="s">
        <v>339</v>
      </c>
      <c r="F12" s="2" t="s">
        <v>340</v>
      </c>
      <c r="G12" s="2" t="s">
        <v>341</v>
      </c>
      <c r="H12" s="2" t="s">
        <v>29</v>
      </c>
      <c r="K12" s="6" t="s">
        <v>19</v>
      </c>
    </row>
    <row r="13" spans="1:12" x14ac:dyDescent="0.25">
      <c r="A13" s="5" t="s">
        <v>228</v>
      </c>
      <c r="B13" s="5" t="s">
        <v>25</v>
      </c>
      <c r="C13" s="2" t="s">
        <v>342</v>
      </c>
      <c r="D13" s="2" t="s">
        <v>343</v>
      </c>
      <c r="E13" s="2" t="s">
        <v>344</v>
      </c>
      <c r="F13" s="2" t="s">
        <v>345</v>
      </c>
      <c r="G13" s="2" t="s">
        <v>346</v>
      </c>
      <c r="H13" s="2" t="s">
        <v>347</v>
      </c>
      <c r="I13" s="2" t="s">
        <v>29</v>
      </c>
      <c r="K13" s="6" t="s">
        <v>21</v>
      </c>
    </row>
    <row r="14" spans="1:12" x14ac:dyDescent="0.25">
      <c r="A14" s="5" t="s">
        <v>228</v>
      </c>
      <c r="B14" s="5" t="s">
        <v>26</v>
      </c>
      <c r="C14" s="2" t="s">
        <v>348</v>
      </c>
      <c r="D14" s="2" t="s">
        <v>338</v>
      </c>
      <c r="E14" s="2" t="s">
        <v>339</v>
      </c>
      <c r="F14" s="2" t="s">
        <v>340</v>
      </c>
      <c r="G14" s="2" t="s">
        <v>341</v>
      </c>
      <c r="H14" s="2" t="s">
        <v>29</v>
      </c>
      <c r="K14" s="6" t="s">
        <v>12</v>
      </c>
    </row>
    <row r="15" spans="1:12" x14ac:dyDescent="0.25">
      <c r="A15" s="5" t="s">
        <v>228</v>
      </c>
      <c r="B15" s="5" t="s">
        <v>27</v>
      </c>
      <c r="C15" s="2" t="s">
        <v>349</v>
      </c>
      <c r="D15" s="2" t="s">
        <v>350</v>
      </c>
      <c r="E15" s="2" t="s">
        <v>351</v>
      </c>
      <c r="F15" s="2" t="s">
        <v>352</v>
      </c>
      <c r="G15" s="2" t="s">
        <v>353</v>
      </c>
      <c r="H15" s="2" t="s">
        <v>354</v>
      </c>
      <c r="I15" s="2" t="s">
        <v>355</v>
      </c>
      <c r="J15" s="2" t="s">
        <v>29</v>
      </c>
      <c r="K15" s="6" t="s">
        <v>475</v>
      </c>
    </row>
    <row r="16" spans="1:12" x14ac:dyDescent="0.25">
      <c r="A16" s="5" t="s">
        <v>229</v>
      </c>
      <c r="B16" s="5" t="s">
        <v>9</v>
      </c>
      <c r="C16" s="2" t="s">
        <v>356</v>
      </c>
      <c r="D16" s="2" t="s">
        <v>357</v>
      </c>
      <c r="E16" s="2" t="s">
        <v>358</v>
      </c>
      <c r="F16" s="2" t="s">
        <v>359</v>
      </c>
      <c r="G16" s="2" t="s">
        <v>360</v>
      </c>
      <c r="H16" s="2" t="s">
        <v>361</v>
      </c>
      <c r="I16" s="2" t="s">
        <v>29</v>
      </c>
      <c r="K16" s="6" t="s">
        <v>19</v>
      </c>
      <c r="L16" s="2" t="s">
        <v>476</v>
      </c>
    </row>
    <row r="17" spans="1:12" x14ac:dyDescent="0.25">
      <c r="A17" s="5" t="s">
        <v>229</v>
      </c>
      <c r="B17" s="5" t="s">
        <v>11</v>
      </c>
      <c r="C17" s="2" t="s">
        <v>362</v>
      </c>
      <c r="D17" s="2" t="s">
        <v>363</v>
      </c>
      <c r="E17" s="2" t="s">
        <v>364</v>
      </c>
      <c r="F17" s="2" t="s">
        <v>365</v>
      </c>
      <c r="G17" s="2" t="s">
        <v>366</v>
      </c>
      <c r="H17" s="2" t="s">
        <v>29</v>
      </c>
      <c r="K17" s="6" t="s">
        <v>19</v>
      </c>
      <c r="L17" s="2" t="s">
        <v>477</v>
      </c>
    </row>
    <row r="18" spans="1:12" x14ac:dyDescent="0.25">
      <c r="A18" s="5" t="s">
        <v>229</v>
      </c>
      <c r="B18" s="5" t="s">
        <v>13</v>
      </c>
      <c r="C18" s="2" t="s">
        <v>367</v>
      </c>
      <c r="D18" s="2" t="s">
        <v>368</v>
      </c>
      <c r="E18" s="2" t="s">
        <v>369</v>
      </c>
      <c r="F18" s="2" t="s">
        <v>370</v>
      </c>
      <c r="G18" s="2" t="s">
        <v>371</v>
      </c>
      <c r="H18" s="2" t="s">
        <v>29</v>
      </c>
      <c r="K18" s="6" t="s">
        <v>12</v>
      </c>
      <c r="L18" s="2" t="s">
        <v>478</v>
      </c>
    </row>
    <row r="19" spans="1:12" x14ac:dyDescent="0.25">
      <c r="A19" s="5" t="s">
        <v>229</v>
      </c>
      <c r="B19" s="5" t="s">
        <v>14</v>
      </c>
      <c r="C19" s="2" t="s">
        <v>372</v>
      </c>
      <c r="D19" s="2" t="s">
        <v>373</v>
      </c>
      <c r="E19" s="2" t="s">
        <v>374</v>
      </c>
      <c r="F19" s="2" t="s">
        <v>375</v>
      </c>
      <c r="G19" s="2" t="s">
        <v>376</v>
      </c>
      <c r="H19" s="2" t="s">
        <v>377</v>
      </c>
      <c r="I19" s="2" t="s">
        <v>29</v>
      </c>
      <c r="K19" s="6" t="s">
        <v>479</v>
      </c>
      <c r="L19" s="2" t="s">
        <v>480</v>
      </c>
    </row>
    <row r="20" spans="1:12" ht="16.5" x14ac:dyDescent="0.25">
      <c r="A20" s="5" t="s">
        <v>229</v>
      </c>
      <c r="B20" s="5" t="s">
        <v>15</v>
      </c>
      <c r="C20" s="2" t="s">
        <v>378</v>
      </c>
      <c r="D20" s="2" t="s">
        <v>379</v>
      </c>
      <c r="E20" s="2" t="s">
        <v>380</v>
      </c>
      <c r="F20" s="2" t="s">
        <v>381</v>
      </c>
      <c r="G20" s="2" t="s">
        <v>382</v>
      </c>
      <c r="H20" s="2" t="s">
        <v>29</v>
      </c>
      <c r="K20" s="6" t="s">
        <v>16</v>
      </c>
      <c r="L20" s="2" t="s">
        <v>481</v>
      </c>
    </row>
    <row r="21" spans="1:12" x14ac:dyDescent="0.25">
      <c r="A21" s="5" t="s">
        <v>229</v>
      </c>
      <c r="B21" s="5" t="s">
        <v>17</v>
      </c>
      <c r="C21" s="2" t="s">
        <v>383</v>
      </c>
      <c r="D21" s="2" t="s">
        <v>384</v>
      </c>
      <c r="E21" s="2" t="s">
        <v>385</v>
      </c>
      <c r="F21" s="2" t="s">
        <v>386</v>
      </c>
      <c r="G21" s="2" t="s">
        <v>387</v>
      </c>
      <c r="H21" s="2" t="s">
        <v>29</v>
      </c>
      <c r="K21" s="6" t="s">
        <v>483</v>
      </c>
      <c r="L21" s="2" t="s">
        <v>484</v>
      </c>
    </row>
    <row r="22" spans="1:12" x14ac:dyDescent="0.25">
      <c r="A22" s="5" t="s">
        <v>229</v>
      </c>
      <c r="B22" s="5" t="s">
        <v>18</v>
      </c>
      <c r="C22" s="2" t="s">
        <v>388</v>
      </c>
      <c r="D22" s="2" t="s">
        <v>389</v>
      </c>
      <c r="E22" s="2" t="s">
        <v>390</v>
      </c>
      <c r="F22" s="2" t="s">
        <v>391</v>
      </c>
      <c r="G22" s="2" t="s">
        <v>392</v>
      </c>
      <c r="H22" s="2" t="s">
        <v>393</v>
      </c>
      <c r="I22" s="2" t="s">
        <v>394</v>
      </c>
      <c r="J22" s="2" t="s">
        <v>29</v>
      </c>
      <c r="K22" s="6" t="s">
        <v>485</v>
      </c>
      <c r="L22" s="2" t="s">
        <v>486</v>
      </c>
    </row>
    <row r="23" spans="1:12" x14ac:dyDescent="0.25">
      <c r="A23" s="5" t="s">
        <v>229</v>
      </c>
      <c r="B23" s="5" t="s">
        <v>20</v>
      </c>
      <c r="C23" s="2" t="s">
        <v>395</v>
      </c>
      <c r="D23" s="2" t="s">
        <v>396</v>
      </c>
      <c r="E23" s="2" t="s">
        <v>397</v>
      </c>
      <c r="F23" s="2" t="s">
        <v>398</v>
      </c>
      <c r="G23" s="2" t="s">
        <v>358</v>
      </c>
      <c r="H23" s="2" t="s">
        <v>29</v>
      </c>
      <c r="K23" s="6" t="s">
        <v>10</v>
      </c>
      <c r="L23" s="2" t="s">
        <v>487</v>
      </c>
    </row>
    <row r="24" spans="1:12" x14ac:dyDescent="0.25">
      <c r="A24" s="5" t="s">
        <v>229</v>
      </c>
      <c r="B24" s="5" t="s">
        <v>22</v>
      </c>
      <c r="C24" s="2" t="s">
        <v>399</v>
      </c>
      <c r="D24" s="2" t="s">
        <v>400</v>
      </c>
      <c r="E24" s="2" t="s">
        <v>401</v>
      </c>
      <c r="F24" s="2" t="s">
        <v>402</v>
      </c>
      <c r="G24" s="2" t="s">
        <v>403</v>
      </c>
      <c r="H24" s="2" t="s">
        <v>404</v>
      </c>
      <c r="I24" s="2" t="s">
        <v>29</v>
      </c>
      <c r="K24" s="6" t="s">
        <v>488</v>
      </c>
      <c r="L24" s="2" t="s">
        <v>489</v>
      </c>
    </row>
    <row r="25" spans="1:12" x14ac:dyDescent="0.25">
      <c r="A25" s="5" t="s">
        <v>230</v>
      </c>
      <c r="B25" s="5" t="s">
        <v>9</v>
      </c>
      <c r="C25" s="2" t="s">
        <v>405</v>
      </c>
      <c r="D25" s="2" t="s">
        <v>406</v>
      </c>
      <c r="E25" s="2" t="s">
        <v>407</v>
      </c>
      <c r="F25" s="2" t="s">
        <v>408</v>
      </c>
      <c r="G25" s="2" t="s">
        <v>409</v>
      </c>
      <c r="H25" s="2" t="s">
        <v>29</v>
      </c>
      <c r="K25" s="6" t="s">
        <v>19</v>
      </c>
    </row>
    <row r="26" spans="1:12" x14ac:dyDescent="0.25">
      <c r="A26" s="5" t="s">
        <v>230</v>
      </c>
      <c r="B26" s="5" t="s">
        <v>11</v>
      </c>
      <c r="C26" s="2" t="s">
        <v>410</v>
      </c>
      <c r="D26" s="2" t="s">
        <v>411</v>
      </c>
      <c r="E26" s="2" t="s">
        <v>412</v>
      </c>
      <c r="F26" s="2" t="s">
        <v>413</v>
      </c>
      <c r="G26" s="2" t="s">
        <v>29</v>
      </c>
      <c r="K26" s="6" t="s">
        <v>10</v>
      </c>
    </row>
    <row r="27" spans="1:12" x14ac:dyDescent="0.25">
      <c r="A27" s="5" t="s">
        <v>230</v>
      </c>
      <c r="B27" s="5" t="s">
        <v>13</v>
      </c>
      <c r="C27" s="2" t="s">
        <v>414</v>
      </c>
      <c r="D27" s="2" t="s">
        <v>415</v>
      </c>
      <c r="E27" s="2" t="s">
        <v>416</v>
      </c>
      <c r="F27" s="2" t="s">
        <v>417</v>
      </c>
      <c r="G27" s="2" t="s">
        <v>418</v>
      </c>
      <c r="H27" s="2" t="s">
        <v>419</v>
      </c>
      <c r="I27" s="2" t="s">
        <v>29</v>
      </c>
      <c r="K27" s="6" t="s">
        <v>490</v>
      </c>
    </row>
    <row r="28" spans="1:12" x14ac:dyDescent="0.25">
      <c r="A28" s="5" t="s">
        <v>230</v>
      </c>
      <c r="B28" s="5" t="s">
        <v>14</v>
      </c>
      <c r="C28" s="2" t="s">
        <v>420</v>
      </c>
      <c r="D28" s="2" t="s">
        <v>421</v>
      </c>
      <c r="E28" s="2" t="s">
        <v>422</v>
      </c>
      <c r="F28" s="2" t="s">
        <v>423</v>
      </c>
      <c r="G28" s="2" t="s">
        <v>424</v>
      </c>
      <c r="H28" s="2" t="s">
        <v>425</v>
      </c>
      <c r="I28" s="2" t="s">
        <v>29</v>
      </c>
      <c r="K28" s="6" t="s">
        <v>16</v>
      </c>
    </row>
    <row r="29" spans="1:12" x14ac:dyDescent="0.25">
      <c r="A29" s="5" t="s">
        <v>230</v>
      </c>
      <c r="B29" s="5" t="s">
        <v>15</v>
      </c>
      <c r="C29" s="2" t="s">
        <v>426</v>
      </c>
      <c r="D29" s="2" t="s">
        <v>427</v>
      </c>
      <c r="E29" s="2" t="s">
        <v>428</v>
      </c>
      <c r="F29" s="2" t="s">
        <v>429</v>
      </c>
      <c r="G29" s="2" t="s">
        <v>430</v>
      </c>
      <c r="H29" s="2" t="s">
        <v>431</v>
      </c>
      <c r="I29" s="2" t="s">
        <v>432</v>
      </c>
      <c r="J29" s="2" t="s">
        <v>29</v>
      </c>
      <c r="K29" s="6" t="s">
        <v>491</v>
      </c>
    </row>
    <row r="30" spans="1:12" x14ac:dyDescent="0.25">
      <c r="A30" s="5" t="s">
        <v>230</v>
      </c>
      <c r="B30" s="5" t="s">
        <v>17</v>
      </c>
      <c r="C30" s="2" t="s">
        <v>433</v>
      </c>
      <c r="D30" s="2" t="s">
        <v>434</v>
      </c>
      <c r="E30" s="2" t="s">
        <v>435</v>
      </c>
      <c r="F30" s="2" t="s">
        <v>436</v>
      </c>
      <c r="G30" s="2" t="s">
        <v>437</v>
      </c>
      <c r="H30" s="2" t="s">
        <v>29</v>
      </c>
      <c r="K30" s="6" t="s">
        <v>12</v>
      </c>
    </row>
    <row r="31" spans="1:12" x14ac:dyDescent="0.25">
      <c r="A31" s="5" t="s">
        <v>39</v>
      </c>
      <c r="B31" s="5" t="s">
        <v>9</v>
      </c>
      <c r="C31" s="2" t="s">
        <v>438</v>
      </c>
      <c r="D31" s="2" t="s">
        <v>439</v>
      </c>
      <c r="E31" s="2" t="s">
        <v>440</v>
      </c>
      <c r="F31" s="2" t="s">
        <v>441</v>
      </c>
      <c r="G31" s="2" t="s">
        <v>442</v>
      </c>
      <c r="H31" s="2" t="s">
        <v>29</v>
      </c>
      <c r="K31" s="6" t="s">
        <v>492</v>
      </c>
    </row>
    <row r="32" spans="1:12" x14ac:dyDescent="0.25">
      <c r="A32" s="5" t="s">
        <v>39</v>
      </c>
      <c r="B32" s="5" t="s">
        <v>11</v>
      </c>
      <c r="C32" s="2" t="s">
        <v>443</v>
      </c>
      <c r="D32" s="2" t="s">
        <v>444</v>
      </c>
      <c r="E32" s="2" t="s">
        <v>445</v>
      </c>
      <c r="F32" s="2" t="s">
        <v>446</v>
      </c>
      <c r="G32" s="2" t="s">
        <v>447</v>
      </c>
      <c r="H32" s="2" t="s">
        <v>29</v>
      </c>
      <c r="K32" s="6" t="s">
        <v>16</v>
      </c>
    </row>
    <row r="33" spans="1:11" x14ac:dyDescent="0.25">
      <c r="A33" s="5" t="s">
        <v>39</v>
      </c>
      <c r="B33" s="5" t="s">
        <v>13</v>
      </c>
      <c r="C33" s="2" t="s">
        <v>448</v>
      </c>
      <c r="D33" s="2" t="s">
        <v>449</v>
      </c>
      <c r="E33" s="2" t="s">
        <v>450</v>
      </c>
      <c r="F33" s="2" t="s">
        <v>451</v>
      </c>
      <c r="G33" s="2" t="s">
        <v>452</v>
      </c>
      <c r="H33" s="2" t="s">
        <v>29</v>
      </c>
      <c r="K33" s="6" t="s">
        <v>10</v>
      </c>
    </row>
    <row r="34" spans="1:11" x14ac:dyDescent="0.25">
      <c r="A34" s="5" t="s">
        <v>39</v>
      </c>
      <c r="B34" s="5" t="s">
        <v>14</v>
      </c>
      <c r="C34" s="2" t="s">
        <v>453</v>
      </c>
      <c r="D34" s="2" t="s">
        <v>454</v>
      </c>
      <c r="E34" s="2" t="s">
        <v>455</v>
      </c>
      <c r="F34" s="2" t="s">
        <v>456</v>
      </c>
      <c r="G34" s="2" t="s">
        <v>29</v>
      </c>
      <c r="K34" s="6" t="s">
        <v>493</v>
      </c>
    </row>
    <row r="35" spans="1:11" x14ac:dyDescent="0.25">
      <c r="A35" s="5" t="s">
        <v>39</v>
      </c>
      <c r="B35" s="5" t="s">
        <v>15</v>
      </c>
      <c r="C35" s="2" t="s">
        <v>457</v>
      </c>
      <c r="D35" s="2" t="s">
        <v>458</v>
      </c>
      <c r="E35" s="2" t="s">
        <v>459</v>
      </c>
      <c r="F35" s="2" t="s">
        <v>460</v>
      </c>
      <c r="G35" s="2" t="s">
        <v>461</v>
      </c>
      <c r="H35" s="2" t="s">
        <v>29</v>
      </c>
      <c r="K35" s="6" t="s">
        <v>21</v>
      </c>
    </row>
    <row r="36" spans="1:11" x14ac:dyDescent="0.25">
      <c r="A36" s="5" t="s">
        <v>39</v>
      </c>
      <c r="B36" s="5" t="s">
        <v>17</v>
      </c>
      <c r="C36" s="2" t="s">
        <v>462</v>
      </c>
      <c r="D36" s="2" t="s">
        <v>463</v>
      </c>
      <c r="E36" s="2" t="s">
        <v>464</v>
      </c>
      <c r="F36" s="2" t="s">
        <v>449</v>
      </c>
      <c r="G36" s="2" t="s">
        <v>465</v>
      </c>
      <c r="H36" s="2" t="s">
        <v>29</v>
      </c>
      <c r="K36" s="6" t="s">
        <v>21</v>
      </c>
    </row>
    <row r="37" spans="1:11" x14ac:dyDescent="0.25">
      <c r="A37" s="5" t="s">
        <v>39</v>
      </c>
      <c r="B37" s="5" t="s">
        <v>18</v>
      </c>
      <c r="C37" s="2" t="s">
        <v>466</v>
      </c>
      <c r="D37" s="2" t="s">
        <v>451</v>
      </c>
      <c r="E37" s="2" t="s">
        <v>467</v>
      </c>
      <c r="F37" s="2" t="s">
        <v>468</v>
      </c>
      <c r="G37" s="2" t="s">
        <v>469</v>
      </c>
      <c r="H37" s="2" t="s">
        <v>29</v>
      </c>
      <c r="K37" s="6" t="s">
        <v>12</v>
      </c>
    </row>
  </sheetData>
  <autoFilter ref="A1:K325" xr:uid="{00000000-0001-0000-0000-000000000000}"/>
  <phoneticPr fontId="3" type="noConversion"/>
  <conditionalFormatting sqref="D1:D1048576">
    <cfRule type="expression" dxfId="6" priority="7">
      <formula>ISERROR(FIND("A",$K1))=FALSE</formula>
    </cfRule>
  </conditionalFormatting>
  <conditionalFormatting sqref="E1:E1048576">
    <cfRule type="expression" dxfId="5" priority="6">
      <formula>ISERROR(FIND("B",$K1))=FALSE</formula>
    </cfRule>
  </conditionalFormatting>
  <conditionalFormatting sqref="F1:F1048576">
    <cfRule type="expression" dxfId="4" priority="5">
      <formula>ISERROR(FIND("C",$K1))=FALSE</formula>
    </cfRule>
  </conditionalFormatting>
  <conditionalFormatting sqref="G1:G1048576">
    <cfRule type="expression" dxfId="3" priority="4">
      <formula>ISERROR(FIND("D",$K1))=FALSE</formula>
    </cfRule>
  </conditionalFormatting>
  <conditionalFormatting sqref="H1:H1048576">
    <cfRule type="expression" dxfId="2" priority="3">
      <formula>ISERROR(FIND("E",$K1))=FALSE</formula>
    </cfRule>
  </conditionalFormatting>
  <conditionalFormatting sqref="J1:J1048576">
    <cfRule type="expression" dxfId="1" priority="1">
      <formula>ISERROR(FIND("G",$K1))=FALSE</formula>
    </cfRule>
  </conditionalFormatting>
  <conditionalFormatting sqref="I1:I1048576">
    <cfRule type="expression" dxfId="0" priority="2">
      <formula>ISERROR(FIND("F",$K1))=FALSE</formula>
    </cfRule>
  </conditionalFormatting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4EFAA-EF75-46AB-9449-DE504B7E1DE0}">
  <sheetPr>
    <tabColor rgb="FF00B0F0"/>
    <outlinePr summaryBelow="0" summaryRight="0"/>
  </sheetPr>
  <dimension ref="A1:E993"/>
  <sheetViews>
    <sheetView workbookViewId="0">
      <selection activeCell="A5" sqref="A5"/>
    </sheetView>
  </sheetViews>
  <sheetFormatPr baseColWidth="10" defaultColWidth="14.42578125" defaultRowHeight="15" customHeight="1" x14ac:dyDescent="0.25"/>
  <cols>
    <col min="1" max="1" width="13.140625" style="8" customWidth="1"/>
    <col min="2" max="2" width="43.28515625" style="8" customWidth="1"/>
    <col min="3" max="3" width="68.42578125" style="8" customWidth="1"/>
    <col min="4" max="6" width="14.42578125" style="8" customWidth="1"/>
    <col min="7" max="16384" width="14.42578125" style="8"/>
  </cols>
  <sheetData>
    <row r="1" spans="1:5" x14ac:dyDescent="0.25">
      <c r="A1" s="9" t="s">
        <v>0</v>
      </c>
      <c r="B1" s="9" t="s">
        <v>43</v>
      </c>
      <c r="C1" s="9" t="s">
        <v>28</v>
      </c>
      <c r="D1" s="10" t="s">
        <v>38</v>
      </c>
    </row>
    <row r="2" spans="1:5" ht="14.25" x14ac:dyDescent="0.25">
      <c r="A2" s="8" t="s">
        <v>228</v>
      </c>
      <c r="B2" s="8" t="s">
        <v>227</v>
      </c>
      <c r="C2" s="8" t="str">
        <f>B2 &amp; " (" &amp; D2 &amp; " questions)"</f>
        <v>Le Feu (14 questions)</v>
      </c>
      <c r="D2" s="8">
        <f>COUNTIF(Liste_Questions!$A:$A,$A2)</f>
        <v>14</v>
      </c>
      <c r="E2" s="8">
        <f>COUNTIF(Liste_Questions!$C:$C,"["&amp;LEFT($A2,4)&amp;"]*")</f>
        <v>0</v>
      </c>
    </row>
    <row r="3" spans="1:5" ht="14.25" x14ac:dyDescent="0.25">
      <c r="A3" s="8" t="s">
        <v>229</v>
      </c>
      <c r="B3" s="8" t="s">
        <v>227</v>
      </c>
      <c r="C3" s="8" t="str">
        <f>B3 &amp; " (" &amp; D3 &amp; " questions)"</f>
        <v>Le Feu (9 questions)</v>
      </c>
      <c r="D3" s="8">
        <f>COUNTIF(Liste_Questions!$A:$A,$A3)</f>
        <v>9</v>
      </c>
      <c r="E3" s="8">
        <f>COUNTIF(Liste_Questions!$C:$C,"["&amp;LEFT($A3,4)&amp;"]*")</f>
        <v>0</v>
      </c>
    </row>
    <row r="4" spans="1:5" ht="14.25" x14ac:dyDescent="0.25">
      <c r="A4" s="8" t="s">
        <v>230</v>
      </c>
      <c r="B4" s="8" t="s">
        <v>231</v>
      </c>
      <c r="C4" s="8" t="str">
        <f>B4 &amp; " (" &amp; D4 &amp; " questions)"</f>
        <v>Classement des ERP (6 questions)</v>
      </c>
      <c r="D4" s="8">
        <f>COUNTIF(Liste_Questions!$A:$A,$A4)</f>
        <v>6</v>
      </c>
      <c r="E4" s="8">
        <f>COUNTIF(Liste_Questions!$C:$C,"["&amp;LEFT($A4,4)&amp;"]*")</f>
        <v>0</v>
      </c>
    </row>
    <row r="5" spans="1:5" ht="14.25" x14ac:dyDescent="0.25">
      <c r="A5" s="8" t="s">
        <v>39</v>
      </c>
      <c r="B5" s="8" t="s">
        <v>232</v>
      </c>
      <c r="C5" s="8" t="str">
        <f>B5 &amp; " (" &amp; D5 &amp; " questions)"</f>
        <v>Classement des IGH (7 questions)</v>
      </c>
      <c r="D5" s="8">
        <f>COUNTIF(Liste_Questions!$A:$A,$A5)</f>
        <v>7</v>
      </c>
      <c r="E5" s="8">
        <f>COUNTIF(Liste_Questions!$C:$C,"["&amp;LEFT($A5,4)&amp;"]*")</f>
        <v>0</v>
      </c>
    </row>
    <row r="6" spans="1:5" ht="14.25" x14ac:dyDescent="0.25">
      <c r="A6" s="8" t="s">
        <v>234</v>
      </c>
      <c r="B6" s="8" t="s">
        <v>233</v>
      </c>
      <c r="C6" s="8" t="str">
        <f>B6 &amp; " (" &amp; D6 &amp; " questions)"</f>
        <v>Sécurité incendie en ERP (0 questions)</v>
      </c>
      <c r="D6" s="8">
        <f>COUNTIF(Liste_Questions!$A:$A,$A6)</f>
        <v>0</v>
      </c>
      <c r="E6" s="8">
        <f>COUNTIF(Liste_Questions!$C:$C,"["&amp;LEFT($A6,4)&amp;"]*")</f>
        <v>0</v>
      </c>
    </row>
    <row r="7" spans="1:5" ht="14.25" x14ac:dyDescent="0.25">
      <c r="A7" s="8" t="s">
        <v>235</v>
      </c>
      <c r="B7" s="8" t="s">
        <v>233</v>
      </c>
      <c r="C7" s="8" t="str">
        <f>B7 &amp; " (" &amp; D7 &amp; " questions)"</f>
        <v>Sécurité incendie en ERP (0 questions)</v>
      </c>
      <c r="D7" s="8">
        <f>COUNTIF(Liste_Questions!$A:$A,$A7)</f>
        <v>0</v>
      </c>
      <c r="E7" s="8">
        <f>COUNTIF(Liste_Questions!$C:$C,"["&amp;LEFT($A7,4)&amp;"]*")</f>
        <v>0</v>
      </c>
    </row>
    <row r="8" spans="1:5" ht="14.25" x14ac:dyDescent="0.25">
      <c r="A8" s="8" t="s">
        <v>236</v>
      </c>
      <c r="B8" s="8" t="s">
        <v>237</v>
      </c>
      <c r="C8" s="8" t="str">
        <f>B8 &amp; " (" &amp; D8 &amp; " questions)"</f>
        <v>Sécurité incendie en IGH (0 questions)</v>
      </c>
      <c r="D8" s="8">
        <f>COUNTIF(Liste_Questions!$A:$A,$A8)</f>
        <v>0</v>
      </c>
      <c r="E8" s="8">
        <f>COUNTIF(Liste_Questions!$C:$C,"["&amp;LEFT($A8,4)&amp;"]*")</f>
        <v>0</v>
      </c>
    </row>
    <row r="9" spans="1:5" ht="14.25" x14ac:dyDescent="0.25">
      <c r="A9" s="8" t="s">
        <v>41</v>
      </c>
      <c r="B9" s="8" t="s">
        <v>238</v>
      </c>
      <c r="C9" s="8" t="str">
        <f>B9 &amp; " (" &amp; D9 &amp; " questions)"</f>
        <v>Les moyens de secours (0 questions)</v>
      </c>
      <c r="D9" s="8">
        <f>COUNTIF(Liste_Questions!$A:$A,$A9)</f>
        <v>0</v>
      </c>
      <c r="E9" s="8">
        <f>COUNTIF(Liste_Questions!$C:$C,"["&amp;LEFT($A9,4)&amp;"]*")</f>
        <v>0</v>
      </c>
    </row>
    <row r="10" spans="1:5" ht="14.25" x14ac:dyDescent="0.25">
      <c r="A10" s="8" t="s">
        <v>42</v>
      </c>
      <c r="B10" s="8" t="s">
        <v>239</v>
      </c>
      <c r="C10" s="8" t="str">
        <f>B10 &amp; " (" &amp; D10 &amp; " questions)"</f>
        <v>Les installations électriques (0 questions)</v>
      </c>
      <c r="D10" s="8">
        <f>COUNTIF(Liste_Questions!$A:$A,$A10)</f>
        <v>0</v>
      </c>
      <c r="E10" s="8">
        <f>COUNTIF(Liste_Questions!$C:$C,"["&amp;LEFT($A10,4)&amp;"]*")</f>
        <v>0</v>
      </c>
    </row>
    <row r="11" spans="1:5" ht="14.25" x14ac:dyDescent="0.25">
      <c r="A11" s="8" t="s">
        <v>40</v>
      </c>
      <c r="B11" s="8" t="s">
        <v>240</v>
      </c>
      <c r="C11" s="8" t="str">
        <f>B11 &amp; " (" &amp; D11 &amp; " questions)"</f>
        <v>Le S.S.I. (0 questions)</v>
      </c>
      <c r="D11" s="8">
        <f>COUNTIF(Liste_Questions!$A:$A,$A11)</f>
        <v>0</v>
      </c>
      <c r="E11" s="8">
        <f>COUNTIF(Liste_Questions!$C:$C,"["&amp;LEFT($A11,4)&amp;"]*")</f>
        <v>0</v>
      </c>
    </row>
    <row r="12" spans="1:5" ht="14.25" x14ac:dyDescent="0.25">
      <c r="A12" s="8" t="s">
        <v>241</v>
      </c>
      <c r="B12" s="8" t="s">
        <v>242</v>
      </c>
      <c r="C12" s="8" t="str">
        <f>B12 &amp; " (" &amp; D12 &amp; " questions)"</f>
        <v>Rôles et missions des agents (0 questions)</v>
      </c>
      <c r="D12" s="8">
        <f>COUNTIF(Liste_Questions!$A:$A,$A12)</f>
        <v>0</v>
      </c>
      <c r="E12" s="8">
        <f>COUNTIF(Liste_Questions!$C:$C,"["&amp;LEFT($A12,4)&amp;"]*")</f>
        <v>0</v>
      </c>
    </row>
    <row r="13" spans="1:5" ht="14.25" x14ac:dyDescent="0.25">
      <c r="A13" s="8" t="s">
        <v>243</v>
      </c>
      <c r="C13" s="8" t="str">
        <f>B13 &amp; " (" &amp; D13 &amp; " questions)"</f>
        <v xml:space="preserve"> (0 questions)</v>
      </c>
      <c r="D13" s="8">
        <f>COUNTIF(Liste_Questions!$A:$A,$A13)</f>
        <v>0</v>
      </c>
      <c r="E13" s="8">
        <f>COUNTIF(Liste_Questions!$C:$C,"["&amp;LEFT($A13,4)&amp;"]*")</f>
        <v>0</v>
      </c>
    </row>
    <row r="14" spans="1:5" ht="15" customHeight="1" x14ac:dyDescent="0.25">
      <c r="A14" s="8" t="s">
        <v>36</v>
      </c>
      <c r="C14" s="8" t="s">
        <v>44</v>
      </c>
      <c r="D14" s="8">
        <f>COUNTIF(Liste_Questions!$A:$A,$A14)</f>
        <v>0</v>
      </c>
    </row>
    <row r="15" spans="1:5" ht="15" customHeight="1" x14ac:dyDescent="0.25">
      <c r="A15" s="8" t="s">
        <v>37</v>
      </c>
      <c r="C15" s="8" t="s">
        <v>44</v>
      </c>
      <c r="D15" s="8">
        <f>COUNTIF(Liste_Questions!$A:$A,$A15)</f>
        <v>0</v>
      </c>
    </row>
    <row r="16" spans="1:5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</sheetData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82157-25E0-434E-AB6B-01FE38A60B37}">
  <dimension ref="A1:K36"/>
  <sheetViews>
    <sheetView workbookViewId="0">
      <selection activeCell="K1" sqref="K1:K36"/>
    </sheetView>
  </sheetViews>
  <sheetFormatPr baseColWidth="10" defaultRowHeight="15" x14ac:dyDescent="0.25"/>
  <cols>
    <col min="1" max="1" width="34.140625" customWidth="1"/>
    <col min="2" max="2" width="11.42578125" style="7"/>
    <col min="3" max="3" width="33.140625" style="7" customWidth="1"/>
  </cols>
  <sheetData>
    <row r="1" spans="1:11" x14ac:dyDescent="0.25">
      <c r="A1" s="12" t="s">
        <v>247</v>
      </c>
      <c r="B1" s="7">
        <f>FIND(". ",A1)</f>
        <v>2</v>
      </c>
      <c r="C1" s="7" t="str">
        <f>RIGHT(A1, LEN(A1)-(B1+1))</f>
        <v>Quels combustibles forment des braises au cours de leur combustion ? |Les liquides |Les solides |Les gaz |Les fumées |Aucune des réponses précédentes</v>
      </c>
      <c r="D1" t="str" cm="1">
        <f t="array" ref="D1:I1">_xlfn.TEXTSPLIT(C1,"|")</f>
        <v xml:space="preserve">Quels combustibles forment des braises au cours de leur combustion ? </v>
      </c>
      <c r="E1" t="str">
        <v xml:space="preserve">Les liquides </v>
      </c>
      <c r="F1" t="str">
        <v xml:space="preserve">Les solides </v>
      </c>
      <c r="G1" t="str">
        <v xml:space="preserve">Les gaz </v>
      </c>
      <c r="H1" t="str">
        <v xml:space="preserve">Les fumées </v>
      </c>
      <c r="I1" t="str">
        <v>Aucune des réponses précédentes</v>
      </c>
    </row>
    <row r="2" spans="1:11" x14ac:dyDescent="0.25">
      <c r="A2" s="12" t="s">
        <v>248</v>
      </c>
      <c r="B2" s="7">
        <f>FIND(". ",A2)</f>
        <v>2</v>
      </c>
      <c r="C2" s="7" t="str">
        <f t="shared" ref="C2:C36" si="0">RIGHT(A2, LEN(A2)-(B2+1))</f>
        <v>Quels sont les éléments qui constituent le triangle du feu ? |Le gaz carbonique |Le comburant |Le combustible |L’énergie d’activation |La poudre |L’eau avec additif |Aucune des réponses précédentes</v>
      </c>
      <c r="D2" t="str" cm="1">
        <f t="array" ref="D2:K2">_xlfn.TEXTSPLIT(C2,"|")</f>
        <v xml:space="preserve">Quels sont les éléments qui constituent le triangle du feu ? </v>
      </c>
      <c r="E2" t="str">
        <v xml:space="preserve">Le gaz carbonique </v>
      </c>
      <c r="F2" t="str">
        <v xml:space="preserve">Le comburant </v>
      </c>
      <c r="G2" t="str">
        <v xml:space="preserve">Le combustible </v>
      </c>
      <c r="H2" t="str">
        <v xml:space="preserve">L’énergie d’activation </v>
      </c>
      <c r="I2" t="str">
        <v xml:space="preserve">La poudre </v>
      </c>
      <c r="J2" t="str">
        <v xml:space="preserve">L’eau avec additif </v>
      </c>
      <c r="K2" t="str">
        <v>Aucune des réponses précédentes</v>
      </c>
    </row>
    <row r="3" spans="1:11" x14ac:dyDescent="0.25">
      <c r="A3" s="12" t="s">
        <v>249</v>
      </c>
      <c r="B3" s="7">
        <f t="shared" ref="B3:B36" si="1">FIND(". ",A3)</f>
        <v>2</v>
      </c>
      <c r="C3" s="7" t="str">
        <f t="shared" si="0"/>
        <v>Parmi ces propositions indiquez le (ou les) comburant(s) ? |Un combustible liquide appelé aussi carburant |Le gaz carbonique |La chaleur |L’oxygène de l’air |La couche d’ozone |Aucune des réponses précédentes</v>
      </c>
      <c r="D3" t="str" cm="1">
        <f t="array" ref="D3:J3">_xlfn.TEXTSPLIT(C3,"|")</f>
        <v xml:space="preserve">Parmi ces propositions indiquez le (ou les) comburant(s) ? </v>
      </c>
      <c r="E3" t="str">
        <v xml:space="preserve">Un combustible liquide appelé aussi carburant </v>
      </c>
      <c r="F3" t="str">
        <v xml:space="preserve">Le gaz carbonique </v>
      </c>
      <c r="G3" t="str">
        <v xml:space="preserve">La chaleur </v>
      </c>
      <c r="H3" t="str">
        <v xml:space="preserve">L’oxygène de l’air </v>
      </c>
      <c r="I3" t="str">
        <v xml:space="preserve">La couche d’ozone </v>
      </c>
      <c r="J3" t="str">
        <v>Aucune des réponses précédentes</v>
      </c>
    </row>
    <row r="4" spans="1:11" x14ac:dyDescent="0.25">
      <c r="A4" s="12" t="s">
        <v>250</v>
      </c>
      <c r="B4" s="7">
        <f t="shared" si="1"/>
        <v>2</v>
      </c>
      <c r="C4" s="7" t="str">
        <f t="shared" si="0"/>
        <v>Parmi ces propositions, indiquez celle(s) considérée(s) comme étant un comburant ? |Le propane |Les flammes |L’huile hydraulique |L’oxygène |L’essence |Aucune des réponses précédentes</v>
      </c>
      <c r="D4" t="str" cm="1">
        <f t="array" ref="D4:J4">_xlfn.TEXTSPLIT(C4,"|")</f>
        <v xml:space="preserve">Parmi ces propositions, indiquez celle(s) considérée(s) comme étant un comburant ? </v>
      </c>
      <c r="E4" t="str">
        <v xml:space="preserve">Le propane </v>
      </c>
      <c r="F4" t="str">
        <v xml:space="preserve">Les flammes </v>
      </c>
      <c r="G4" t="str">
        <v xml:space="preserve">L’huile hydraulique </v>
      </c>
      <c r="H4" t="str">
        <v xml:space="preserve">L’oxygène </v>
      </c>
      <c r="I4" t="str">
        <v xml:space="preserve">L’essence </v>
      </c>
      <c r="J4" t="str">
        <v>Aucune des réponses précédentes</v>
      </c>
    </row>
    <row r="5" spans="1:11" x14ac:dyDescent="0.25">
      <c r="A5" s="12" t="s">
        <v>251</v>
      </c>
      <c r="B5" s="7">
        <f t="shared" si="1"/>
        <v>2</v>
      </c>
      <c r="C5" s="7" t="str">
        <f t="shared" si="0"/>
        <v>La combustion est une réaction : |Exothermocimétrique |Exothermique |Oxydable |Exothérique |Extra-thermique |Aucune des réponses précédentes</v>
      </c>
      <c r="D5" t="str" cm="1">
        <f t="array" ref="D5:J5">_xlfn.TEXTSPLIT(C5,"|")</f>
        <v xml:space="preserve">La combustion est une réaction : </v>
      </c>
      <c r="E5" t="str">
        <v xml:space="preserve">Exothermocimétrique </v>
      </c>
      <c r="F5" t="str">
        <v xml:space="preserve">Exothermique </v>
      </c>
      <c r="G5" t="str">
        <v xml:space="preserve">Oxydable </v>
      </c>
      <c r="H5" t="str">
        <v xml:space="preserve">Exothérique </v>
      </c>
      <c r="I5" t="str">
        <v xml:space="preserve">Extra-thermique </v>
      </c>
      <c r="J5" t="str">
        <v>Aucune des réponses précédentes</v>
      </c>
    </row>
    <row r="6" spans="1:11" x14ac:dyDescent="0.25">
      <c r="A6" s="12" t="s">
        <v>252</v>
      </c>
      <c r="B6" s="7">
        <f t="shared" si="1"/>
        <v>2</v>
      </c>
      <c r="C6" s="7" t="str">
        <f t="shared" si="0"/>
        <v>Quelles sont les différentes causes des incendies ? |Naturelles |Catastrophiques |Humaines |Techniques |Réelles |Aucune des réponses précédentes</v>
      </c>
      <c r="D6" t="str" cm="1">
        <f t="array" ref="D6:J6">_xlfn.TEXTSPLIT(C6,"|")</f>
        <v xml:space="preserve">Quelles sont les différentes causes des incendies ? </v>
      </c>
      <c r="E6" t="str">
        <v xml:space="preserve">Naturelles </v>
      </c>
      <c r="F6" t="str">
        <v xml:space="preserve">Catastrophiques </v>
      </c>
      <c r="G6" t="str">
        <v xml:space="preserve">Humaines </v>
      </c>
      <c r="H6" t="str">
        <v xml:space="preserve">Techniques </v>
      </c>
      <c r="I6" t="str">
        <v xml:space="preserve">Réelles </v>
      </c>
      <c r="J6" t="str">
        <v>Aucune des réponses précédentes</v>
      </c>
    </row>
    <row r="7" spans="1:11" x14ac:dyDescent="0.25">
      <c r="A7" s="12" t="s">
        <v>253</v>
      </c>
      <c r="B7" s="7">
        <f t="shared" si="1"/>
        <v>2</v>
      </c>
      <c r="C7" s="7" t="str">
        <f t="shared" si="0"/>
        <v>Un incendie peut être d’origine : |Alimentaire |Humaine |Naturelle |Électrique |Hydraulique |Aucune des réponses précédentes</v>
      </c>
      <c r="D7" t="str" cm="1">
        <f t="array" ref="D7:J7">_xlfn.TEXTSPLIT(C7,"|")</f>
        <v xml:space="preserve">Un incendie peut être d’origine : </v>
      </c>
      <c r="E7" t="str">
        <v xml:space="preserve">Alimentaire </v>
      </c>
      <c r="F7" t="str">
        <v xml:space="preserve">Humaine </v>
      </c>
      <c r="G7" t="str">
        <v xml:space="preserve">Naturelle </v>
      </c>
      <c r="H7" t="str">
        <v xml:space="preserve">Électrique </v>
      </c>
      <c r="I7" t="str">
        <v xml:space="preserve">Hydraulique </v>
      </c>
      <c r="J7" t="str">
        <v>Aucune des réponses précédentes</v>
      </c>
    </row>
    <row r="8" spans="1:11" x14ac:dyDescent="0.25">
      <c r="A8" s="12" t="s">
        <v>254</v>
      </c>
      <c r="B8" s="7">
        <f t="shared" si="1"/>
        <v>2</v>
      </c>
      <c r="C8" s="7" t="str">
        <f t="shared" si="0"/>
        <v>Afin de déterminer les agents extincteurs à utiliser, comment classe-t-on les familles de combustibles ? |En fonction de leur dangerosité |En fonction du type de combustion (lente, vive, spontanée) |En fonction de leurs points éclair |En fonction de leurs états (solide, liquide, gaz) |Aucune des réponses précédentes</v>
      </c>
      <c r="D8" t="str" cm="1">
        <f t="array" ref="D8:I8">_xlfn.TEXTSPLIT(C8,"|")</f>
        <v xml:space="preserve">Afin de déterminer les agents extincteurs à utiliser, comment classe-t-on les familles de combustibles ? </v>
      </c>
      <c r="E8" t="str">
        <v xml:space="preserve">En fonction de leur dangerosité </v>
      </c>
      <c r="F8" t="str">
        <v xml:space="preserve">En fonction du type de combustion (lente, vive, spontanée) </v>
      </c>
      <c r="G8" t="str">
        <v xml:space="preserve">En fonction de leurs points éclair </v>
      </c>
      <c r="H8" t="str">
        <v xml:space="preserve">En fonction de leurs états (solide, liquide, gaz) </v>
      </c>
      <c r="I8" t="str">
        <v>Aucune des réponses précédentes</v>
      </c>
    </row>
    <row r="9" spans="1:11" x14ac:dyDescent="0.25">
      <c r="A9" s="12" t="s">
        <v>255</v>
      </c>
      <c r="B9" s="7">
        <f t="shared" si="1"/>
        <v>2</v>
      </c>
      <c r="C9" s="7" t="str">
        <f t="shared" si="0"/>
        <v>Quels sont, parmi les propositions suivantes, les éléments qui appartiennent à la classe de feu D ? |Le bois |L’aluminium |Le butane |Le sodium |Aucune des réponses précédentes</v>
      </c>
      <c r="D9" t="str" cm="1">
        <f t="array" ref="D9:I9">_xlfn.TEXTSPLIT(C9,"|")</f>
        <v xml:space="preserve">Quels sont, parmi les propositions suivantes, les éléments qui appartiennent à la classe de feu D ? </v>
      </c>
      <c r="E9" t="str">
        <v xml:space="preserve">Le bois </v>
      </c>
      <c r="F9" t="str">
        <v xml:space="preserve">L’aluminium </v>
      </c>
      <c r="G9" t="str">
        <v xml:space="preserve">Le butane </v>
      </c>
      <c r="H9" t="str">
        <v xml:space="preserve">Le sodium </v>
      </c>
      <c r="I9" t="str">
        <v>Aucune des réponses précédentes</v>
      </c>
    </row>
    <row r="10" spans="1:11" x14ac:dyDescent="0.25">
      <c r="A10" s="12" t="s">
        <v>256</v>
      </c>
      <c r="B10" s="7">
        <f t="shared" si="1"/>
        <v>3</v>
      </c>
      <c r="C10" s="7" t="str">
        <f t="shared" si="0"/>
        <v>Quels sont, parmi les propositions suivantes, les éléments qui appartiennent à la classe de feu B ? |L’huile moteur |L’alcool |La paille |Certains plastiques |L’oxygène |Aucune des réponses précédentes</v>
      </c>
      <c r="D10" t="str" cm="1">
        <f t="array" ref="D10:J10">_xlfn.TEXTSPLIT(C10,"|")</f>
        <v xml:space="preserve">Quels sont, parmi les propositions suivantes, les éléments qui appartiennent à la classe de feu B ? </v>
      </c>
      <c r="E10" t="str">
        <v xml:space="preserve">L’huile moteur </v>
      </c>
      <c r="F10" t="str">
        <v xml:space="preserve">L’alcool </v>
      </c>
      <c r="G10" t="str">
        <v xml:space="preserve">La paille </v>
      </c>
      <c r="H10" t="str">
        <v xml:space="preserve">Certains plastiques </v>
      </c>
      <c r="I10" t="str">
        <v xml:space="preserve">L’oxygène </v>
      </c>
      <c r="J10" t="str">
        <v>Aucune des réponses précédentes</v>
      </c>
    </row>
    <row r="11" spans="1:11" x14ac:dyDescent="0.25">
      <c r="A11" s="12" t="s">
        <v>257</v>
      </c>
      <c r="B11" s="7">
        <f t="shared" si="1"/>
        <v>3</v>
      </c>
      <c r="C11" s="7" t="str">
        <f t="shared" si="0"/>
        <v>Qu’est-ce que la convection dans un feu ? |C’est la transmission de la chaleur par la masse même du matériau |C’est la transmission de la chaleur par l’intermédiaire de l’air |C’est la transmission de la chaleur par l’intermédiaire d’ondes électromagnétiques |C’est la transmission de la chaleur par l’intermédiaire de particules incandescentes |Aucune des réponses précédentes</v>
      </c>
      <c r="D11" t="str" cm="1">
        <f t="array" ref="D11:I11">_xlfn.TEXTSPLIT(C11,"|")</f>
        <v xml:space="preserve">Qu’est-ce que la convection dans un feu ? </v>
      </c>
      <c r="E11" t="str">
        <v xml:space="preserve">C’est la transmission de la chaleur par la masse même du matériau </v>
      </c>
      <c r="F11" t="str">
        <v xml:space="preserve">C’est la transmission de la chaleur par l’intermédiaire de l’air </v>
      </c>
      <c r="G11" t="str">
        <v xml:space="preserve">C’est la transmission de la chaleur par l’intermédiaire d’ondes électromagnétiques </v>
      </c>
      <c r="H11" t="str">
        <v xml:space="preserve">C’est la transmission de la chaleur par l’intermédiaire de particules incandescentes </v>
      </c>
      <c r="I11" t="str">
        <v>Aucune des réponses précédentes</v>
      </c>
    </row>
    <row r="12" spans="1:11" x14ac:dyDescent="0.25">
      <c r="A12" s="12" t="s">
        <v>258</v>
      </c>
      <c r="B12" s="7">
        <f t="shared" si="1"/>
        <v>3</v>
      </c>
      <c r="C12" s="7" t="str">
        <f t="shared" si="0"/>
        <v>Comment se propage la chaleur par rayonnement ? |Par la masse du matériau |Par projection de particules incandescentes |Par déplacement de la fumée |Par mouvement des gaz chauds |Par l’intermédiaire d’ondes électromagnétiques |Aucune des réponses précédentes</v>
      </c>
      <c r="D12" t="str" cm="1">
        <f t="array" ref="D12:J12">_xlfn.TEXTSPLIT(C12,"|")</f>
        <v xml:space="preserve">Comment se propage la chaleur par rayonnement ? </v>
      </c>
      <c r="E12" t="str">
        <v xml:space="preserve">Par la masse du matériau </v>
      </c>
      <c r="F12" t="str">
        <v xml:space="preserve">Par projection de particules incandescentes </v>
      </c>
      <c r="G12" t="str">
        <v xml:space="preserve">Par déplacement de la fumée </v>
      </c>
      <c r="H12" t="str">
        <v xml:space="preserve">Par mouvement des gaz chauds </v>
      </c>
      <c r="I12" t="str">
        <v xml:space="preserve">Par l’intermédiaire d’ondes électromagnétiques </v>
      </c>
      <c r="J12" t="str">
        <v>Aucune des réponses précédentes</v>
      </c>
    </row>
    <row r="13" spans="1:11" x14ac:dyDescent="0.25">
      <c r="A13" s="12" t="s">
        <v>259</v>
      </c>
      <c r="B13" s="7">
        <f t="shared" si="1"/>
        <v>3</v>
      </c>
      <c r="C13" s="7" t="str">
        <f t="shared" si="0"/>
        <v>Qu’est-ce que la conduction dans un feu ? |C’est la transmission de la chaleur par la masse même du matériau |C’est la transmission de la chaleur par l’intermédiaire de l’air |C’est la transmission de la chaleur par l’intermédiaire d’ondes électromagnétiques |C’est la transmission de la chaleur par l’intermédiaire de particules incandescentes |Aucune des réponses précédentes</v>
      </c>
      <c r="D13" t="str" cm="1">
        <f t="array" ref="D13:I13">_xlfn.TEXTSPLIT(C13,"|")</f>
        <v xml:space="preserve">Qu’est-ce que la conduction dans un feu ? </v>
      </c>
      <c r="E13" t="str">
        <v xml:space="preserve">C’est la transmission de la chaleur par la masse même du matériau </v>
      </c>
      <c r="F13" t="str">
        <v xml:space="preserve">C’est la transmission de la chaleur par l’intermédiaire de l’air </v>
      </c>
      <c r="G13" t="str">
        <v xml:space="preserve">C’est la transmission de la chaleur par l’intermédiaire d’ondes électromagnétiques </v>
      </c>
      <c r="H13" t="str">
        <v xml:space="preserve">C’est la transmission de la chaleur par l’intermédiaire de particules incandescentes </v>
      </c>
      <c r="I13" t="str">
        <v>Aucune des réponses précédentes</v>
      </c>
    </row>
    <row r="14" spans="1:11" x14ac:dyDescent="0.25">
      <c r="A14" s="12" t="s">
        <v>260</v>
      </c>
      <c r="B14" s="7">
        <f t="shared" si="1"/>
        <v>3</v>
      </c>
      <c r="C14" s="7" t="str">
        <f t="shared" si="0"/>
        <v>Quels sont les modes de propagation d’un incendie ? |Le rayonnement |Les projections |La conviction |La conduction |La fragmentation |La convection |Aucune des réponses précédentes</v>
      </c>
      <c r="D14" t="str" cm="1">
        <f t="array" ref="D14:K14">_xlfn.TEXTSPLIT(C14,"|")</f>
        <v xml:space="preserve">Quels sont les modes de propagation d’un incendie ? </v>
      </c>
      <c r="E14" t="str">
        <v xml:space="preserve">Le rayonnement </v>
      </c>
      <c r="F14" t="str">
        <v xml:space="preserve">Les projections </v>
      </c>
      <c r="G14" t="str">
        <v xml:space="preserve">La conviction </v>
      </c>
      <c r="H14" t="str">
        <v xml:space="preserve">La conduction </v>
      </c>
      <c r="I14" t="str">
        <v xml:space="preserve">La fragmentation </v>
      </c>
      <c r="J14" t="str">
        <v xml:space="preserve">La convection </v>
      </c>
      <c r="K14" t="str">
        <v>Aucune des réponses précédentes</v>
      </c>
    </row>
    <row r="15" spans="1:11" x14ac:dyDescent="0.25">
      <c r="A15" s="12" t="s">
        <v>261</v>
      </c>
      <c r="B15" s="7">
        <f t="shared" si="1"/>
        <v>2</v>
      </c>
      <c r="C15" s="7" t="str">
        <f t="shared" si="0"/>
        <v>À quoi s’applique la résistance au feu ? |Aux matériaux utilisés pour l’ameublement |Aux éléments de construction |Aux revêtements de sol |Aux piliers |À la quantité de chaleur dégagée |Aucune des réponses précédentes</v>
      </c>
      <c r="D15" t="str" cm="1">
        <f t="array" ref="D15:J15">_xlfn.TEXTSPLIT(C15,"|")</f>
        <v xml:space="preserve">À quoi s’applique la résistance au feu ? </v>
      </c>
      <c r="E15" t="str">
        <v xml:space="preserve">Aux matériaux utilisés pour l’ameublement </v>
      </c>
      <c r="F15" t="str">
        <v xml:space="preserve">Aux éléments de construction </v>
      </c>
      <c r="G15" t="str">
        <v xml:space="preserve">Aux revêtements de sol </v>
      </c>
      <c r="H15" t="str">
        <v xml:space="preserve">Aux piliers </v>
      </c>
      <c r="I15" t="str">
        <v xml:space="preserve">À la quantité de chaleur dégagée </v>
      </c>
      <c r="J15" t="str">
        <v>Aucune des réponses précédentes</v>
      </c>
    </row>
    <row r="16" spans="1:11" x14ac:dyDescent="0.25">
      <c r="A16" s="12" t="s">
        <v>262</v>
      </c>
      <c r="B16" s="7">
        <f t="shared" si="1"/>
        <v>2</v>
      </c>
      <c r="C16" s="7" t="str">
        <f t="shared" si="0"/>
        <v>Comment sont exprimées les durées de résistance au feu, dans les euroclasses ? |En secondes |En minutes |En heures |En heures et minutes |Aucune des réponses précédentes</v>
      </c>
      <c r="D16" t="str" cm="1">
        <f t="array" ref="D16:I16">_xlfn.TEXTSPLIT(C16,"|")</f>
        <v xml:space="preserve">Comment sont exprimées les durées de résistance au feu, dans les euroclasses ? </v>
      </c>
      <c r="E16" t="str">
        <v xml:space="preserve">En secondes </v>
      </c>
      <c r="F16" t="str">
        <v xml:space="preserve">En minutes </v>
      </c>
      <c r="G16" t="str">
        <v xml:space="preserve">En heures </v>
      </c>
      <c r="H16" t="str">
        <v xml:space="preserve">En heures et minutes </v>
      </c>
      <c r="I16" t="str">
        <v>Aucune des réponses précédentes</v>
      </c>
    </row>
    <row r="17" spans="1:11" x14ac:dyDescent="0.25">
      <c r="A17" s="12" t="s">
        <v>263</v>
      </c>
      <c r="B17" s="7">
        <f t="shared" si="1"/>
        <v>2</v>
      </c>
      <c r="C17" s="7" t="str">
        <f t="shared" si="0"/>
        <v>SF-PF-CF correspondent : |À la résistance au feu des éléments de construction |À la réaction au feu des matériaux de construction |Aux niveaux d’accès du S.S.I |Aux classements d’E.R.P |Aucune des réponses précédentes</v>
      </c>
      <c r="D17" t="str" cm="1">
        <f t="array" ref="D17:I17">_xlfn.TEXTSPLIT(C17,"|")</f>
        <v xml:space="preserve">SF-PF-CF correspondent : </v>
      </c>
      <c r="E17" t="str">
        <v xml:space="preserve">À la résistance au feu des éléments de construction </v>
      </c>
      <c r="F17" t="str">
        <v xml:space="preserve">À la réaction au feu des matériaux de construction </v>
      </c>
      <c r="G17" t="str">
        <v xml:space="preserve">Aux niveaux d’accès du S.S.I </v>
      </c>
      <c r="H17" t="str">
        <v xml:space="preserve">Aux classements d’E.R.P </v>
      </c>
      <c r="I17" t="str">
        <v>Aucune des réponses précédentes</v>
      </c>
    </row>
    <row r="18" spans="1:11" x14ac:dyDescent="0.25">
      <c r="A18" s="12" t="s">
        <v>264</v>
      </c>
      <c r="B18" s="7">
        <f t="shared" si="1"/>
        <v>2</v>
      </c>
      <c r="C18" s="7" t="str">
        <f t="shared" si="0"/>
        <v>La réaction au feu d’un matériau peut être notée : |SF |A1 |CF |MO |M2 |Aucune des réponses précédentes</v>
      </c>
      <c r="D18" t="str" cm="1">
        <f t="array" ref="D18:J18">_xlfn.TEXTSPLIT(C18,"|")</f>
        <v xml:space="preserve">La réaction au feu d’un matériau peut être notée : </v>
      </c>
      <c r="E18" t="str">
        <v xml:space="preserve">SF </v>
      </c>
      <c r="F18" t="str">
        <v xml:space="preserve">A1 </v>
      </c>
      <c r="G18" t="str">
        <v xml:space="preserve">CF </v>
      </c>
      <c r="H18" t="str">
        <v xml:space="preserve">MO </v>
      </c>
      <c r="I18" t="str">
        <v xml:space="preserve">M2 </v>
      </c>
      <c r="J18" t="str">
        <v>Aucune des réponses précédentes</v>
      </c>
    </row>
    <row r="19" spans="1:11" x14ac:dyDescent="0.25">
      <c r="A19" s="12" t="s">
        <v>265</v>
      </c>
      <c r="B19" s="7">
        <f t="shared" si="1"/>
        <v>2</v>
      </c>
      <c r="C19" s="7" t="str">
        <f t="shared" si="0"/>
        <v>Le classement M1 correspond à : |La résistance au feu d’une porte |Le potentiel d’extinction d’un extincteur |La réaction au feu d’un matériau |La manœuvre mensuelle obligatoire |Aucune des réponses précédentes</v>
      </c>
      <c r="D19" t="str" cm="1">
        <f t="array" ref="D19:I19">_xlfn.TEXTSPLIT(C19,"|")</f>
        <v xml:space="preserve">Le classement M1 correspond à : </v>
      </c>
      <c r="E19" t="str">
        <v xml:space="preserve">La résistance au feu d’une porte </v>
      </c>
      <c r="F19" t="str">
        <v xml:space="preserve">Le potentiel d’extinction d’un extincteur </v>
      </c>
      <c r="G19" t="str">
        <v xml:space="preserve">La réaction au feu d’un matériau </v>
      </c>
      <c r="H19" t="str">
        <v xml:space="preserve">La manœuvre mensuelle obligatoire </v>
      </c>
      <c r="I19" t="str">
        <v>Aucune des réponses précédentes</v>
      </c>
    </row>
    <row r="20" spans="1:11" x14ac:dyDescent="0.25">
      <c r="A20" s="12" t="s">
        <v>266</v>
      </c>
      <c r="B20" s="7">
        <f t="shared" si="1"/>
        <v>2</v>
      </c>
      <c r="C20" s="7" t="str">
        <f t="shared" si="0"/>
        <v>Un classement de réaction au feu est demandé pour : |Un revêtement mural |Un rétroprojecteur |Un revêtement de sol |Un gros mobilier |Aucune des réponses précédentes</v>
      </c>
      <c r="D20" t="str" cm="1">
        <f t="array" ref="D20:I20">_xlfn.TEXTSPLIT(C20,"|")</f>
        <v xml:space="preserve">Un classement de réaction au feu est demandé pour : </v>
      </c>
      <c r="E20" t="str">
        <v xml:space="preserve">Un revêtement mural </v>
      </c>
      <c r="F20" t="str">
        <v xml:space="preserve">Un rétroprojecteur </v>
      </c>
      <c r="G20" t="str">
        <v xml:space="preserve">Un revêtement de sol </v>
      </c>
      <c r="H20" t="str">
        <v xml:space="preserve">Un gros mobilier </v>
      </c>
      <c r="I20" t="str">
        <v>Aucune des réponses précédentes</v>
      </c>
    </row>
    <row r="21" spans="1:11" x14ac:dyDescent="0.25">
      <c r="A21" s="12" t="s">
        <v>267</v>
      </c>
      <c r="B21" s="7">
        <f t="shared" si="1"/>
        <v>2</v>
      </c>
      <c r="C21" s="7" t="str">
        <f t="shared" si="0"/>
        <v>En ERP, donnez les principales règles pour le revêtement des escaliers encloisonnés ? |M1 pour les murs |M2 pour le sol |M3 pour le plafond |M4 pour le sol |M1 pour le plafond |M3 pour le sol |Aucune des réponses précédentes</v>
      </c>
      <c r="D21" t="str" cm="1">
        <f t="array" ref="D21:K21">_xlfn.TEXTSPLIT(C21,"|")</f>
        <v xml:space="preserve">En ERP, donnez les principales règles pour le revêtement des escaliers encloisonnés ? </v>
      </c>
      <c r="E21" t="str">
        <v xml:space="preserve">M1 pour les murs </v>
      </c>
      <c r="F21" t="str">
        <v xml:space="preserve">M2 pour le sol </v>
      </c>
      <c r="G21" t="str">
        <v xml:space="preserve">M3 pour le plafond </v>
      </c>
      <c r="H21" t="str">
        <v xml:space="preserve">M4 pour le sol </v>
      </c>
      <c r="I21" t="str">
        <v xml:space="preserve">M1 pour le plafond </v>
      </c>
      <c r="J21" t="str">
        <v xml:space="preserve">M3 pour le sol </v>
      </c>
      <c r="K21" t="str">
        <v>Aucune des réponses précédentes</v>
      </c>
    </row>
    <row r="22" spans="1:11" x14ac:dyDescent="0.25">
      <c r="A22" s="12" t="s">
        <v>268</v>
      </c>
      <c r="B22" s="7">
        <f t="shared" si="1"/>
        <v>2</v>
      </c>
      <c r="C22" s="7" t="str">
        <f t="shared" si="0"/>
        <v>La résistance au feu s’applique : |Aux meubles |Aux sapins de Noël |Aux objets |Aux éléments de construction |Aucune des réponses précédentes</v>
      </c>
      <c r="D22" t="str" cm="1">
        <f t="array" ref="D22:I22">_xlfn.TEXTSPLIT(C22,"|")</f>
        <v xml:space="preserve">La résistance au feu s’applique : </v>
      </c>
      <c r="E22" t="str">
        <v xml:space="preserve">Aux meubles </v>
      </c>
      <c r="F22" t="str">
        <v xml:space="preserve">Aux sapins de Noël </v>
      </c>
      <c r="G22" t="str">
        <v xml:space="preserve">Aux objets </v>
      </c>
      <c r="H22" t="str">
        <v xml:space="preserve">Aux éléments de construction </v>
      </c>
      <c r="I22" t="str">
        <v>Aucune des réponses précédentes</v>
      </c>
    </row>
    <row r="23" spans="1:11" x14ac:dyDescent="0.25">
      <c r="A23" s="12" t="s">
        <v>269</v>
      </c>
      <c r="B23" s="7">
        <f t="shared" si="1"/>
        <v>2</v>
      </c>
      <c r="C23" s="7" t="str">
        <f t="shared" si="0"/>
        <v>Un élément de construction qui résiste au feu peut être classé : |Coupe-feu |REI |Pare-feu |A.E.S. |Stable au feu |Aucune des réponses précédentes</v>
      </c>
      <c r="D23" t="str" cm="1">
        <f t="array" ref="D23:J23">_xlfn.TEXTSPLIT(C23,"|")</f>
        <v xml:space="preserve">Un élément de construction qui résiste au feu peut être classé : </v>
      </c>
      <c r="E23" t="str">
        <v xml:space="preserve">Coupe-feu </v>
      </c>
      <c r="F23" t="str">
        <v xml:space="preserve">REI </v>
      </c>
      <c r="G23" t="str">
        <v xml:space="preserve">Pare-feu </v>
      </c>
      <c r="H23" t="str">
        <v xml:space="preserve">A.E.S. </v>
      </c>
      <c r="I23" t="str">
        <v xml:space="preserve">Stable au feu </v>
      </c>
      <c r="J23" t="str">
        <v>Aucune des réponses précédentes</v>
      </c>
    </row>
    <row r="24" spans="1:11" x14ac:dyDescent="0.25">
      <c r="A24" s="12" t="s">
        <v>270</v>
      </c>
      <c r="B24" s="7">
        <f t="shared" si="1"/>
        <v>2</v>
      </c>
      <c r="C24" s="7" t="str">
        <f t="shared" si="0"/>
        <v>Quel établissement suivant est classé en type OA ? |Un hôtel habité |Un hôtel d’altitude |Une habitation occupée |Un organisme agréé |Aucune des réponses précédentes</v>
      </c>
      <c r="D24" t="str" cm="1">
        <f t="array" ref="D24:I24">_xlfn.TEXTSPLIT(C24,"|")</f>
        <v xml:space="preserve">Quel établissement suivant est classé en type OA ? </v>
      </c>
      <c r="E24" t="str">
        <v xml:space="preserve">Un hôtel habité </v>
      </c>
      <c r="F24" t="str">
        <v xml:space="preserve">Un hôtel d’altitude </v>
      </c>
      <c r="G24" t="str">
        <v xml:space="preserve">Une habitation occupée </v>
      </c>
      <c r="H24" t="str">
        <v xml:space="preserve">Un organisme agréé </v>
      </c>
      <c r="I24" t="str">
        <v>Aucune des réponses précédentes</v>
      </c>
    </row>
    <row r="25" spans="1:11" x14ac:dyDescent="0.25">
      <c r="A25" s="12" t="s">
        <v>271</v>
      </c>
      <c r="B25" s="7">
        <f t="shared" si="1"/>
        <v>2</v>
      </c>
      <c r="C25" s="7" t="str">
        <f t="shared" si="0"/>
        <v>Qu’est-ce qu’un établissement de type PA ? |Un parc automobile |Un stand de tir |Un centre de formation professionnel pour adultes |Aucune des réponses précédentes</v>
      </c>
      <c r="D25" t="str" cm="1">
        <f t="array" ref="D25:H25">_xlfn.TEXTSPLIT(C25,"|")</f>
        <v xml:space="preserve">Qu’est-ce qu’un établissement de type PA ? </v>
      </c>
      <c r="E25" t="str">
        <v xml:space="preserve">Un parc automobile </v>
      </c>
      <c r="F25" t="str">
        <v xml:space="preserve">Un stand de tir </v>
      </c>
      <c r="G25" t="str">
        <v xml:space="preserve">Un centre de formation professionnel pour adultes </v>
      </c>
      <c r="H25" t="str">
        <v>Aucune des réponses précédentes</v>
      </c>
    </row>
    <row r="26" spans="1:11" x14ac:dyDescent="0.25">
      <c r="A26" s="12" t="s">
        <v>272</v>
      </c>
      <c r="B26" s="7">
        <f t="shared" si="1"/>
        <v>2</v>
      </c>
      <c r="C26" s="7" t="str">
        <f t="shared" si="0"/>
        <v>Parmi les établissements suivants, lesquels sont des ERP ? |Un train de voyageur |Un parc d’exposition |Une salle de concert |Un dépôt de gaz |Une menuiserie |Aucune des réponses précédentes</v>
      </c>
      <c r="D26" t="str" cm="1">
        <f t="array" ref="D26:J26">_xlfn.TEXTSPLIT(C26,"|")</f>
        <v xml:space="preserve">Parmi les établissements suivants, lesquels sont des ERP ? </v>
      </c>
      <c r="E26" t="str">
        <v xml:space="preserve">Un train de voyageur </v>
      </c>
      <c r="F26" t="str">
        <v xml:space="preserve">Un parc d’exposition </v>
      </c>
      <c r="G26" t="str">
        <v xml:space="preserve">Une salle de concert </v>
      </c>
      <c r="H26" t="str">
        <v xml:space="preserve">Un dépôt de gaz </v>
      </c>
      <c r="I26" t="str">
        <v xml:space="preserve">Une menuiserie </v>
      </c>
      <c r="J26" t="str">
        <v>Aucune des réponses précédentes</v>
      </c>
    </row>
    <row r="27" spans="1:11" x14ac:dyDescent="0.25">
      <c r="A27" s="12" t="s">
        <v>273</v>
      </c>
      <c r="B27" s="7">
        <f t="shared" si="1"/>
        <v>2</v>
      </c>
      <c r="C27" s="7" t="str">
        <f t="shared" si="0"/>
        <v>Quel règlement de sécurité incendie est applicable aux E.R.P. du 1er groupe ? |L’arrêté du 08 mai 1968 modifié |L’arrêté du 18 octobre 1977 modifié |L’arrêté du 25 juin 1980 modifié |L’arrêté du 02 mai 2005 modifié |L’arrêté du 23 août 2008 modifié |Aucune des réponses précédentes</v>
      </c>
      <c r="D27" t="str" cm="1">
        <f t="array" ref="D27:J27">_xlfn.TEXTSPLIT(C27,"|")</f>
        <v xml:space="preserve">Quel règlement de sécurité incendie est applicable aux E.R.P. du 1er groupe ? </v>
      </c>
      <c r="E27" t="str">
        <v xml:space="preserve">L’arrêté du 08 mai 1968 modifié </v>
      </c>
      <c r="F27" t="str">
        <v xml:space="preserve">L’arrêté du 18 octobre 1977 modifié </v>
      </c>
      <c r="G27" t="str">
        <v xml:space="preserve">L’arrêté du 25 juin 1980 modifié </v>
      </c>
      <c r="H27" t="str">
        <v xml:space="preserve">L’arrêté du 02 mai 2005 modifié </v>
      </c>
      <c r="I27" t="str">
        <v xml:space="preserve">L’arrêté du 23 août 2008 modifié </v>
      </c>
      <c r="J27" t="str">
        <v>Aucune des réponses précédentes</v>
      </c>
    </row>
    <row r="28" spans="1:11" x14ac:dyDescent="0.25">
      <c r="A28" s="12" t="s">
        <v>274</v>
      </c>
      <c r="B28" s="7">
        <f t="shared" si="1"/>
        <v>2</v>
      </c>
      <c r="C28" s="7" t="str">
        <f t="shared" si="0"/>
        <v>Une maison d’accueil pour handicapés pouvant recevoir 308 personnes est classée : |Type J |Type U |Type R |2ème catégorie |3ème catégorie |4ème catégorie |Aucune des réponses précédentes</v>
      </c>
      <c r="D28" t="str" cm="1">
        <f t="array" ref="D28:K28">_xlfn.TEXTSPLIT(C28,"|")</f>
        <v xml:space="preserve">Une maison d’accueil pour handicapés pouvant recevoir 308 personnes est classée : </v>
      </c>
      <c r="E28" t="str">
        <v xml:space="preserve">Type J </v>
      </c>
      <c r="F28" t="str">
        <v xml:space="preserve">Type U </v>
      </c>
      <c r="G28" t="str">
        <v xml:space="preserve">Type R </v>
      </c>
      <c r="H28" t="str">
        <v xml:space="preserve">2ème catégorie </v>
      </c>
      <c r="I28" t="str">
        <v xml:space="preserve">3ème catégorie </v>
      </c>
      <c r="J28" t="str">
        <v xml:space="preserve">4ème catégorie </v>
      </c>
      <c r="K28" t="str">
        <v>Aucune des réponses précédentes</v>
      </c>
    </row>
    <row r="29" spans="1:11" x14ac:dyDescent="0.25">
      <c r="A29" s="12" t="s">
        <v>275</v>
      </c>
      <c r="B29" s="7">
        <f t="shared" si="1"/>
        <v>2</v>
      </c>
      <c r="C29" s="7" t="str">
        <f t="shared" si="0"/>
        <v>Les ERP sont classés par catégorie en fonction : |Du nombre maximum de personnes admises |Du nombre d’étages |Du nombre de locaux |Du nombre de sorties |Aucune des réponses précédentes</v>
      </c>
      <c r="D29" t="str" cm="1">
        <f t="array" ref="D29:I29">_xlfn.TEXTSPLIT(C29,"|")</f>
        <v xml:space="preserve">Les ERP sont classés par catégorie en fonction : </v>
      </c>
      <c r="E29" t="str">
        <v xml:space="preserve">Du nombre maximum de personnes admises </v>
      </c>
      <c r="F29" t="str">
        <v xml:space="preserve">Du nombre d’étages </v>
      </c>
      <c r="G29" t="str">
        <v xml:space="preserve">Du nombre de locaux </v>
      </c>
      <c r="H29" t="str">
        <v xml:space="preserve">Du nombre de sorties </v>
      </c>
      <c r="I29" t="str">
        <v>Aucune des réponses précédentes</v>
      </c>
    </row>
    <row r="30" spans="1:11" x14ac:dyDescent="0.25">
      <c r="A30" s="12" t="s">
        <v>276</v>
      </c>
      <c r="B30" s="7">
        <f t="shared" si="1"/>
        <v>2</v>
      </c>
      <c r="C30" s="7" t="str">
        <f t="shared" si="0"/>
        <v>Les IGH à usage exclusif de bureaux sont classés de la façon suivante : |GHZ |GHR |GHW1 |GHW2 |Aucune des réponses précédentes</v>
      </c>
      <c r="D30" t="str" cm="1">
        <f t="array" ref="D30:I30">_xlfn.TEXTSPLIT(C30,"|")</f>
        <v xml:space="preserve">Les IGH à usage exclusif de bureaux sont classés de la façon suivante : </v>
      </c>
      <c r="E30" t="str">
        <v xml:space="preserve">GHZ </v>
      </c>
      <c r="F30" t="str">
        <v xml:space="preserve">GHR </v>
      </c>
      <c r="G30" t="str">
        <v xml:space="preserve">GHW1 </v>
      </c>
      <c r="H30" t="str">
        <v xml:space="preserve">GHW2 </v>
      </c>
      <c r="I30" t="str">
        <v>Aucune des réponses précédentes</v>
      </c>
    </row>
    <row r="31" spans="1:11" x14ac:dyDescent="0.25">
      <c r="A31" s="12" t="s">
        <v>277</v>
      </c>
      <c r="B31" s="7">
        <f t="shared" si="1"/>
        <v>2</v>
      </c>
      <c r="C31" s="7" t="str">
        <f t="shared" si="0"/>
        <v>Le classement d’un bâtiment en immeuble de grande hauteur est déterminé d’après : |La catégorie de l’établissement |La surface accessible au public |La hauteur du plancher bas du dernier niveau |La commission de sécurité compétente |Aucune des réponses précédentes</v>
      </c>
      <c r="D31" t="str" cm="1">
        <f t="array" ref="D31:I31">_xlfn.TEXTSPLIT(C31,"|")</f>
        <v xml:space="preserve">Le classement d’un bâtiment en immeuble de grande hauteur est déterminé d’après : </v>
      </c>
      <c r="E31" t="str">
        <v xml:space="preserve">La catégorie de l’établissement </v>
      </c>
      <c r="F31" t="str">
        <v xml:space="preserve">La surface accessible au public </v>
      </c>
      <c r="G31" t="str">
        <v xml:space="preserve">La hauteur du plancher bas du dernier niveau </v>
      </c>
      <c r="H31" t="str">
        <v xml:space="preserve">La commission de sécurité compétente </v>
      </c>
      <c r="I31" t="str">
        <v>Aucune des réponses précédentes</v>
      </c>
    </row>
    <row r="32" spans="1:11" x14ac:dyDescent="0.25">
      <c r="A32" s="12" t="s">
        <v>278</v>
      </c>
      <c r="B32" s="7">
        <f t="shared" si="1"/>
        <v>2</v>
      </c>
      <c r="C32" s="7" t="str">
        <f t="shared" si="0"/>
        <v>Qu’est-ce qu’un GH S ? |Un IGH à usage mixte |Un IGH d’enseignement |Un IGH d’habitation |Un IGH d’archives |Aucune des réponses précédentes</v>
      </c>
      <c r="D32" t="str" cm="1">
        <f t="array" ref="D32:I32">_xlfn.TEXTSPLIT(C32,"|")</f>
        <v xml:space="preserve">Qu’est-ce qu’un GH S ? </v>
      </c>
      <c r="E32" t="str">
        <v xml:space="preserve">Un IGH à usage mixte </v>
      </c>
      <c r="F32" t="str">
        <v xml:space="preserve">Un IGH d’enseignement </v>
      </c>
      <c r="G32" t="str">
        <v xml:space="preserve">Un IGH d’habitation </v>
      </c>
      <c r="H32" t="str">
        <v xml:space="preserve">Un IGH d’archives </v>
      </c>
      <c r="I32" t="str">
        <v>Aucune des réponses précédentes</v>
      </c>
    </row>
    <row r="33" spans="1:9" x14ac:dyDescent="0.25">
      <c r="A33" s="12" t="s">
        <v>279</v>
      </c>
      <c r="B33" s="7">
        <f t="shared" si="1"/>
        <v>2</v>
      </c>
      <c r="C33" s="7" t="str">
        <f t="shared" si="0"/>
        <v>Est considéré comme IGH, tout bâtiment dont le plancher bas du dernier niveau est situé à plus de : |50 mètres pour les immeubles à usage d’habitation |28 mètres pour les immeubles ne relevant pas de l’habitation |28 mètres pour les immeubles à usage d’habitation |Aucune des réponses précédentes</v>
      </c>
      <c r="D33" t="str" cm="1">
        <f t="array" ref="D33:H33">_xlfn.TEXTSPLIT(C33,"|")</f>
        <v xml:space="preserve">Est considéré comme IGH, tout bâtiment dont le plancher bas du dernier niveau est situé à plus de : </v>
      </c>
      <c r="E33" t="str">
        <v xml:space="preserve">50 mètres pour les immeubles à usage d’habitation </v>
      </c>
      <c r="F33" t="str">
        <v xml:space="preserve">28 mètres pour les immeubles ne relevant pas de l’habitation </v>
      </c>
      <c r="G33" t="str">
        <v xml:space="preserve">28 mètres pour les immeubles à usage d’habitation </v>
      </c>
      <c r="H33" t="str">
        <v>Aucune des réponses précédentes</v>
      </c>
    </row>
    <row r="34" spans="1:9" x14ac:dyDescent="0.25">
      <c r="A34" s="12" t="s">
        <v>280</v>
      </c>
      <c r="B34" s="7">
        <f t="shared" si="1"/>
        <v>2</v>
      </c>
      <c r="C34" s="7" t="str">
        <f t="shared" si="0"/>
        <v>Un immeuble à usage de bureau dont le plancher bas du dernier niveau est situé à 18 mètres de hauteur sera classé en : |GH U |GH W1 |GH W2 |GH Z |Aucune des réponses précédentes</v>
      </c>
      <c r="D34" t="str" cm="1">
        <f t="array" ref="D34:I34">_xlfn.TEXTSPLIT(C34,"|")</f>
        <v xml:space="preserve">Un immeuble à usage de bureau dont le plancher bas du dernier niveau est situé à 18 mètres de hauteur sera classé en : </v>
      </c>
      <c r="E34" t="str">
        <v xml:space="preserve">GH U </v>
      </c>
      <c r="F34" t="str">
        <v xml:space="preserve">GH W1 </v>
      </c>
      <c r="G34" t="str">
        <v xml:space="preserve">GH W2 </v>
      </c>
      <c r="H34" t="str">
        <v xml:space="preserve">GH Z </v>
      </c>
      <c r="I34" t="str">
        <v>Aucune des réponses précédentes</v>
      </c>
    </row>
    <row r="35" spans="1:9" x14ac:dyDescent="0.25">
      <c r="A35" s="12" t="s">
        <v>281</v>
      </c>
      <c r="B35" s="7">
        <f t="shared" si="1"/>
        <v>2</v>
      </c>
      <c r="C35" s="7" t="str">
        <f t="shared" si="0"/>
        <v>Qu’est-ce qu’un GH U ? |Un IGH à usage d’habitation |Un IGH à usage de bureaux |Un IGH à usage mixte |Un IGH à usage d’archives |Aucune des réponses précédentes</v>
      </c>
      <c r="D35" t="str" cm="1">
        <f t="array" ref="D35:I35">_xlfn.TEXTSPLIT(C35,"|")</f>
        <v xml:space="preserve">Qu’est-ce qu’un GH U ? </v>
      </c>
      <c r="E35" t="str">
        <v xml:space="preserve">Un IGH à usage d’habitation </v>
      </c>
      <c r="F35" t="str">
        <v xml:space="preserve">Un IGH à usage de bureaux </v>
      </c>
      <c r="G35" t="str">
        <v xml:space="preserve">Un IGH à usage mixte </v>
      </c>
      <c r="H35" t="str">
        <v xml:space="preserve">Un IGH à usage d’archives </v>
      </c>
      <c r="I35" t="str">
        <v>Aucune des réponses précédentes</v>
      </c>
    </row>
    <row r="36" spans="1:9" x14ac:dyDescent="0.25">
      <c r="A36" s="12" t="s">
        <v>282</v>
      </c>
      <c r="B36" s="7">
        <f t="shared" si="1"/>
        <v>2</v>
      </c>
      <c r="C36" s="7" t="str">
        <f t="shared" si="0"/>
        <v>Qu’est-ce qu’un GH A ? |Un IGH d’habitation |Un IGH de bureaux |Un IGH hôtelier |Un IGH hospitalier |Aucune des réponses précédentes</v>
      </c>
      <c r="D36" t="str" cm="1">
        <f t="array" ref="D36:I36">_xlfn.TEXTSPLIT(C36,"|")</f>
        <v xml:space="preserve">Qu’est-ce qu’un GH A ? </v>
      </c>
      <c r="E36" t="str">
        <v xml:space="preserve">Un IGH d’habitation </v>
      </c>
      <c r="F36" t="str">
        <v xml:space="preserve">Un IGH de bureaux </v>
      </c>
      <c r="G36" t="str">
        <v xml:space="preserve">Un IGH hôtelier </v>
      </c>
      <c r="H36" t="str">
        <v xml:space="preserve">Un IGH hospitalier </v>
      </c>
      <c r="I36" t="str">
        <v>Aucune des réponses précédentes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43</vt:i4>
      </vt:variant>
    </vt:vector>
  </HeadingPairs>
  <TitlesOfParts>
    <vt:vector size="47" baseType="lpstr">
      <vt:lpstr>Definitions</vt:lpstr>
      <vt:lpstr>Liste_Questions</vt:lpstr>
      <vt:lpstr>Liste_UV</vt:lpstr>
      <vt:lpstr>Feuil1</vt:lpstr>
      <vt:lpstr>Feuil1!_1001bqsllr6s</vt:lpstr>
      <vt:lpstr>Feuil1!_1fvuqjs6xfvv</vt:lpstr>
      <vt:lpstr>Feuil1!_1jsutjyckwia</vt:lpstr>
      <vt:lpstr>Feuil1!_292kgykq0ye</vt:lpstr>
      <vt:lpstr>Feuil1!_2fo8i9cznxdf</vt:lpstr>
      <vt:lpstr>Feuil1!_2k99lr79hl9i</vt:lpstr>
      <vt:lpstr>Feuil1!_2utln1nfnqsx</vt:lpstr>
      <vt:lpstr>Feuil1!_3f34v0rndqst</vt:lpstr>
      <vt:lpstr>Feuil1!_3ra657p5rfks</vt:lpstr>
      <vt:lpstr>Feuil1!_62p8mewzupdh</vt:lpstr>
      <vt:lpstr>Feuil1!_6onwknd2sl70</vt:lpstr>
      <vt:lpstr>Feuil1!_6tacmrebr1p5</vt:lpstr>
      <vt:lpstr>Feuil1!_9cwk9m71vyqu</vt:lpstr>
      <vt:lpstr>Feuil1!_9z5isgtp0zf3</vt:lpstr>
      <vt:lpstr>Feuil1!_atn6jtpgu1zu</vt:lpstr>
      <vt:lpstr>Feuil1!_bp1acu9t2l5c</vt:lpstr>
      <vt:lpstr>Feuil1!_cgwcoegbkvui</vt:lpstr>
      <vt:lpstr>Feuil1!_dpycrk4r0ton</vt:lpstr>
      <vt:lpstr>Feuil1!_dsfs3jx2eyse</vt:lpstr>
      <vt:lpstr>Feuil1!_e8p5frs5ytai</vt:lpstr>
      <vt:lpstr>Feuil1!_g70xgby2qf4</vt:lpstr>
      <vt:lpstr>Feuil1!_gfdhz1jncvev</vt:lpstr>
      <vt:lpstr>Feuil1!_h0mvoz49fm6v</vt:lpstr>
      <vt:lpstr>Feuil1!_jwlnc0tny6dc</vt:lpstr>
      <vt:lpstr>Feuil1!_k02g03plkywz</vt:lpstr>
      <vt:lpstr>Feuil1!_lm3itvo759q</vt:lpstr>
      <vt:lpstr>Feuil1!_lscd2hhwq3g1</vt:lpstr>
      <vt:lpstr>Feuil1!_n4mqiy9hj47v</vt:lpstr>
      <vt:lpstr>Feuil1!_oy3w219kln5u</vt:lpstr>
      <vt:lpstr>Feuil1!_p8szso395pbb</vt:lpstr>
      <vt:lpstr>Feuil1!_pnbd6g5estm5</vt:lpstr>
      <vt:lpstr>Feuil1!_q6wqacbarion</vt:lpstr>
      <vt:lpstr>Feuil1!_qmhbzkb96b4</vt:lpstr>
      <vt:lpstr>Feuil1!_r9nnew6d5z19</vt:lpstr>
      <vt:lpstr>Feuil1!_rfltjsbl49ni</vt:lpstr>
      <vt:lpstr>Feuil1!_rz5po1gxlbgp</vt:lpstr>
      <vt:lpstr>Feuil1!_tt764b9auzq8</vt:lpstr>
      <vt:lpstr>Feuil1!_uiga32hpnzj</vt:lpstr>
      <vt:lpstr>Feuil1!_uj38wuktblzm</vt:lpstr>
      <vt:lpstr>Feuil1!_wpn81467iw0b</vt:lpstr>
      <vt:lpstr>Feuil1!_xsb2v6shjdib</vt:lpstr>
      <vt:lpstr>Feuil1!_z8j2bmuhxmo6</vt:lpstr>
      <vt:lpstr>Feuil1!_zgwccvp1qzq2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MONGE Céline</cp:lastModifiedBy>
  <dcterms:created xsi:type="dcterms:W3CDTF">2025-11-13T07:17:07Z</dcterms:created>
  <dcterms:modified xsi:type="dcterms:W3CDTF">2025-12-05T09:50:44Z</dcterms:modified>
</cp:coreProperties>
</file>