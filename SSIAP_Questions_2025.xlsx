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2104474\OneDrive - DAHER\Documents\WORK\PYTHON\apps\JeuMotsSSIAP\"/>
    </mc:Choice>
  </mc:AlternateContent>
  <xr:revisionPtr revIDLastSave="0" documentId="13_ncr:1_{F29703D0-0C8A-4C5D-A809-C6CD47C5F25D}" xr6:coauthVersionLast="47" xr6:coauthVersionMax="47" xr10:uidLastSave="{00000000-0000-0000-0000-000000000000}"/>
  <bookViews>
    <workbookView xWindow="-120" yWindow="-120" windowWidth="29040" windowHeight="15720" activeTab="1"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Liste_Questions!$A$1:$K$312</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D4" i="2"/>
  <c r="D5" i="2"/>
  <c r="D6" i="2"/>
  <c r="D7" i="2"/>
  <c r="D8" i="2"/>
  <c r="D9" i="2"/>
  <c r="D10" i="2"/>
  <c r="D11" i="2"/>
  <c r="D12" i="2"/>
  <c r="D2" i="2"/>
  <c r="B35" i="3"/>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F3" i="2"/>
  <c r="F4" i="2"/>
  <c r="F5" i="2"/>
  <c r="F6" i="2"/>
  <c r="F7" i="2"/>
  <c r="F8" i="2"/>
  <c r="F9" i="2"/>
  <c r="F10" i="2"/>
  <c r="F11" i="2"/>
  <c r="F12" i="2"/>
  <c r="F13" i="2"/>
  <c r="F2" i="2"/>
  <c r="E3" i="2"/>
  <c r="E4" i="2"/>
  <c r="E5" i="2"/>
  <c r="E6" i="2"/>
  <c r="E7" i="2"/>
  <c r="E8" i="2"/>
  <c r="E9" i="2"/>
  <c r="E10" i="2"/>
  <c r="E11" i="2"/>
  <c r="E12" i="2"/>
  <c r="E13" i="2"/>
  <c r="D13" i="2" s="1"/>
  <c r="E14" i="2"/>
  <c r="E15" i="2"/>
  <c r="E2" i="2"/>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<sst xmlns="http://schemas.openxmlformats.org/spreadsheetml/2006/main" count="1674" uniqueCount="1157">
  <si>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</si>
  <si>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</si>
  <si>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</si>
  <si>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</si>
  <si>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</si>
  <si>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</si>
  <si>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</si>
  <si>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</si>
  <si>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</si>
  <si>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</si>
  <si>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</si>
  <si>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</si>
  <si>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</si>
  <si>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</si>
  <si>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</si>
  <si>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</si>
  <si>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</si>
  <si>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</si>
  <si>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</si>
  <si>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</si>
  <si>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</si>
  <si>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</si>
  <si>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</si>
  <si>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</si>
  <si>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</si>
  <si>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</si>
  <si>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</si>
  <si>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</si>
  <si>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</si>
  <si>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</si>
  <si>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</si>
  <si>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</si>
  <si>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</si>
  <si>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</si>
  <si>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</si>
  <si>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</si>
  <si>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</si>
  <si>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</si>
  <si>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</si>
  <si>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</si>
  <si>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</si>
  <si>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</si>
  <si>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</si>
  <si>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</si>
  <si>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UV en vrac (20 questions)</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</si>
  <si>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</si>
  <si>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</si>
  <si>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</si>
  <si>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</si>
  <si>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</si>
  <si>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</si>
  <si>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</si>
  <si>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</si>
  <si>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</si>
  <si>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</si>
  <si>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</si>
  <si>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</si>
  <si>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</si>
  <si>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</si>
  <si>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</si>
  <si>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</si>
  <si>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</si>
  <si>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</si>
  <si>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</si>
  <si>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</si>
  <si>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</si>
  <si>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</si>
  <si>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</si>
  <si>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</si>
  <si>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</si>
  <si>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</si>
  <si>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</si>
  <si>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</si>
  <si>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</si>
  <si>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</si>
  <si>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</si>
  <si>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</si>
  <si>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</si>
  <si>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</si>
  <si>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</si>
  <si>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</si>
  <si>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</si>
  <si>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</si>
  <si>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</si>
  <si>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</si>
  <si>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</si>
  <si>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</si>
  <si>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</si>
  <si>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</si>
  <si>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</si>
  <si>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</si>
  <si>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</si>
  <si>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</si>
  <si>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</si>
  <si>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</si>
  <si>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</si>
  <si>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</si>
  <si>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</si>
  <si>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</si>
  <si>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</si>
  <si>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</si>
  <si>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</si>
  <si>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</si>
  <si>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</si>
  <si>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</si>
  <si>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</si>
  <si>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</si>
  <si>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</si>
  <si>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</si>
  <si>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</si>
  <si>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</si>
  <si>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</si>
  <si>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</si>
  <si>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</si>
  <si>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</si>
  <si>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</si>
  <si>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</si>
  <si>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</si>
  <si>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</si>
  <si>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</si>
  <si>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</si>
  <si>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</si>
  <si>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</si>
  <si>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</si>
  <si>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</si>
  <si>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</si>
  <si>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</si>
  <si>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</si>
  <si>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</si>
  <si>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</si>
  <si>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</si>
  <si>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</si>
  <si>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</si>
  <si>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</si>
  <si>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</si>
  <si>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</si>
  <si>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</si>
  <si>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</si>
  <si>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</si>
  <si>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</si>
  <si>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</si>
  <si>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</si>
  <si>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</si>
  <si>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</si>
  <si>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</si>
  <si>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</si>
  <si>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</si>
  <si>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</si>
  <si>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</si>
  <si>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</si>
  <si>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</si>
  <si>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</si>
  <si>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</si>
  <si>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</si>
  <si>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</si>
  <si>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</si>
  <si>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</si>
  <si>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</si>
  <si>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</si>
  <si>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</si>
  <si>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</si>
  <si>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</si>
  <si>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</si>
  <si>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</si>
  <si>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</si>
  <si>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</si>
  <si>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</si>
  <si>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</si>
  <si>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</si>
  <si>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</si>
  <si>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</si>
  <si>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</si>
  <si>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</si>
  <si>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</si>
  <si>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</si>
  <si>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</si>
  <si>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</si>
  <si>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</si>
  <si>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</si>
  <si>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</si>
  <si>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</si>
  <si>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</si>
  <si>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</si>
  <si>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</si>
  <si>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</si>
  <si>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</si>
  <si>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</si>
  <si>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</si>
  <si>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</si>
  <si>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</si>
  <si>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</si>
  <si>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</si>
  <si>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</si>
  <si>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</si>
  <si>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</si>
  <si>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</si>
  <si>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</si>
  <si>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</si>
  <si>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</si>
  <si>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</si>
  <si>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</si>
  <si>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</si>
  <si>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</si>
  <si>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</si>
  <si>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</si>
  <si>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</si>
  <si>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</si>
  <si>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</si>
  <si>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</si>
  <si>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</si>
  <si>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</si>
  <si>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</si>
  <si>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</si>
  <si>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</si>
  <si>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</si>
  <si>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</si>
  <si>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</si>
  <si>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</si>
  <si>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</si>
  <si>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</si>
  <si>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</si>
  <si>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</si>
  <si>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</si>
  <si>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</si>
  <si>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</si>
  <si>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</si>
  <si>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</si>
  <si>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</si>
  <si>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</si>
  <si>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</si>
  <si>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</si>
  <si>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</si>
  <si>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</si>
  <si>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</si>
  <si>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</si>
  <si>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</si>
  <si>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</si>
  <si>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</si>
  <si>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</si>
  <si>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</si>
  <si>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</si>
  <si>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</si>
  <si>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</si>
  <si>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</si>
  <si>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</si>
  <si>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</si>
  <si>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</si>
  <si>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</si>
  <si>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</si>
  <si>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</si>
  <si>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</si>
  <si>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</si>
  <si>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</si>
  <si>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</si>
  <si>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</si>
  <si>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</si>
  <si>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</si>
  <si>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</si>
  <si>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</si>
  <si>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</si>
  <si>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</si>
  <si>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</si>
  <si>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</si>
  <si>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</si>
  <si>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</si>
  <si>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</si>
  <si>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</si>
  <si>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</si>
  <si>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</si>
  <si>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</si>
  <si>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</si>
  <si>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</si>
  <si>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</si>
  <si>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</si>
  <si>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</si>
  <si>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</si>
  <si>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</si>
  <si>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</si>
  <si>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</si>
  <si>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</si>
  <si>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</si>
  <si>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</si>
  <si>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</si>
  <si>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</si>
  <si>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</si>
  <si>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</si>
  <si>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</si>
  <si>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</si>
  <si>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</si>
  <si>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</si>
  <si>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</si>
  <si>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</si>
  <si>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</si>
  <si>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</si>
  <si>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</si>
  <si>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</si>
  <si>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</si>
  <si>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</si>
  <si>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</si>
  <si>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</si>
  <si>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</si>
  <si>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</si>
  <si>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</si>
  <si>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</si>
  <si>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</si>
  <si>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</si>
  <si>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</si>
  <si>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</si>
  <si>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</si>
  <si>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</si>
  <si>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</si>
  <si>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</si>
  <si>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</si>
  <si>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</si>
  <si>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</si>
  <si>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</si>
  <si>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</si>
  <si>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</si>
  <si>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</si>
  <si>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</si>
  <si>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</si>
  <si>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</si>
  <si>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</si>
  <si>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</si>
  <si>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</si>
  <si>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</si>
  <si>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</si>
  <si>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</si>
  <si>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</si>
  <si>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</si>
  <si>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</si>
  <si>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</si>
  <si>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</si>
  <si>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</si>
  <si>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</si>
  <si>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</si>
  <si>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</si>
  <si>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</si>
  <si>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</si>
  <si>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</si>
  <si>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</si>
  <si>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</si>
  <si>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</si>
  <si>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</si>
  <si>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</si>
  <si>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</si>
  <si>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</si>
  <si>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</si>
  <si>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</si>
  <si>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</si>
  <si>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</si>
  <si>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</si>
  <si>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</si>
  <si>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</si>
  <si>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</si>
  <si>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</si>
  <si>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</si>
  <si>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</si>
  <si>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</si>
  <si>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</si>
  <si>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</si>
  <si>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</si>
  <si>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</si>
  <si>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</si>
  <si>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</si>
  <si>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</si>
  <si>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</si>
  <si>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</si>
  <si>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</si>
  <si>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</si>
  <si>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</si>
  <si>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</si>
  <si>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</si>
  <si>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</si>
  <si>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</si>
  <si>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</si>
  <si>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</si>
  <si>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</si>
  <si>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</si>
  <si>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</si>
  <si>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</si>
  <si>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</si>
  <si>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</si>
  <si>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</si>
  <si>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</si>
  <si>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</si>
  <si>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</si>
  <si>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</si>
  <si>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</si>
  <si>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</si>
  <si>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</si>
  <si>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</si>
  <si>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</si>
  <si>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</si>
  <si>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</si>
  <si>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</si>
  <si>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</si>
  <si>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</si>
  <si>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</si>
  <si>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</si>
  <si>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</si>
  <si>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</si>
  <si>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</si>
  <si>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</si>
  <si>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</si>
  <si>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</si>
  <si>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</si>
  <si>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</si>
  <si>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</si>
  <si>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</si>
  <si>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</si>
  <si>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</si>
  <si>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</si>
  <si>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</si>
  <si>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</si>
  <si>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</si>
  <si>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</si>
  <si>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</si>
  <si>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</si>
  <si>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</si>
  <si>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</si>
  <si>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</si>
  <si>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</si>
  <si>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</si>
  <si>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</si>
  <si>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</si>
  <si>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</si>
  <si>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</si>
  <si>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</si>
  <si>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</si>
  <si>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</si>
  <si>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</si>
  <si>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</si>
  <si>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</si>
  <si>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</si>
  <si>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</si>
  <si>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</si>
  <si>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</si>
  <si>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</si>
  <si>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</si>
  <si>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</si>
  <si>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</si>
  <si>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</si>
  <si>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</si>
  <si>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</si>
  <si>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Comentaire</t>
  </si>
  <si>
    <t>A,C</t>
  </si>
  <si>
    <t>A,E,F</t>
  </si>
  <si>
    <t>C’est la règle du 311 : murs et plafonds M1, sols M3.</t>
  </si>
  <si>
    <t>Elle concerne les structures (poteaux, murs, planchers, portes), pas les meubles ou objets.</t>
  </si>
  <si>
    <t>A,B,C,E</t>
  </si>
  <si>
    <t>SF, PF, CF = ancien système français
REI = système européen (R = portance, E = étanchéité, I = isolation)</t>
  </si>
  <si>
    <t>B,C</t>
  </si>
  <si>
    <t>A,E</t>
  </si>
  <si>
    <t>C,D</t>
  </si>
  <si>
    <t>A,B</t>
  </si>
  <si>
    <t>M0</t>
  </si>
  <si>
    <t>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</si>
  <si>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</si>
  <si>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</si>
  <si>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</si>
  <si>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</si>
  <si>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</si>
  <si>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</si>
  <si>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</si>
  <si>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</si>
  <si>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</si>
  <si>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</si>
  <si>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</si>
  <si>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</si>
  <si>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</si>
  <si>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</si>
  <si>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</si>
  <si>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</si>
  <si>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</si>
  <si>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</si>
  <si>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</si>
  <si>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</si>
  <si>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</si>
  <si>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</si>
  <si>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</si>
  <si>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</si>
  <si>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</si>
  <si>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</si>
  <si>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</si>
  <si>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</si>
  <si>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</si>
  <si>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</si>
  <si>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</si>
  <si>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</si>
  <si>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</si>
  <si>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</si>
  <si>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</si>
  <si>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</si>
  <si>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</si>
  <si>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</si>
  <si>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</si>
  <si>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</si>
  <si>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</si>
  <si>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</si>
  <si>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</si>
  <si>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</si>
  <si>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</si>
  <si>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</si>
  <si>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</si>
  <si>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</si>
  <si>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</si>
  <si>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</si>
  <si>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</si>
  <si>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</si>
  <si>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</si>
  <si>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</si>
  <si>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</si>
  <si>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</si>
  <si>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</si>
  <si>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</si>
  <si>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</si>
  <si>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</si>
  <si>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</si>
  <si>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</si>
  <si>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</si>
  <si>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</si>
  <si>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</si>
  <si>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</si>
  <si>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</si>
  <si>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</si>
  <si>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</si>
  <si>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</si>
  <si>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</si>
  <si>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</si>
  <si>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</si>
  <si>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</si>
  <si>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</si>
  <si>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</si>
  <si>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</si>
  <si>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</si>
  <si>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</si>
  <si>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</si>
  <si>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</si>
  <si>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</si>
  <si>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</si>
  <si>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</si>
  <si>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</si>
  <si>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</si>
  <si>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</si>
  <si>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</si>
  <si>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</si>
  <si>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</si>
  <si>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</si>
  <si>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</si>
  <si>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</si>
  <si>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</si>
  <si>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</si>
  <si>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</si>
  <si>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</si>
  <si>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</si>
  <si>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</si>
  <si>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</si>
  <si>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</si>
  <si>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</si>
  <si>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</si>
  <si>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</si>
  <si>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</si>
  <si>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</si>
  <si>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</si>
  <si>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</si>
  <si>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</si>
  <si>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</si>
  <si>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</si>
  <si>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</si>
  <si>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</si>
  <si>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</si>
  <si>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</si>
  <si>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</si>
  <si>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</si>
  <si>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</si>
  <si>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</si>
  <si>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</si>
  <si>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</si>
  <si>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</si>
  <si>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</si>
  <si>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</si>
  <si>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</si>
  <si>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</si>
  <si>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</si>
  <si>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</si>
  <si>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</si>
  <si>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</si>
  <si>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</si>
  <si>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</si>
  <si>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</si>
  <si>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</si>
  <si>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</si>
  <si>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</si>
  <si>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</si>
  <si>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</si>
  <si>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</si>
  <si>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</si>
  <si>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</si>
  <si>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</si>
  <si>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</si>
  <si>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</si>
  <si>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</si>
  <si>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</si>
  <si>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</si>
  <si>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</si>
  <si>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</si>
  <si>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</si>
  <si>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</si>
  <si>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</si>
  <si>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</si>
  <si>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</si>
  <si>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</si>
  <si>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</si>
  <si>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</si>
  <si>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</si>
  <si>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</si>
  <si>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</si>
  <si>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</si>
  <si>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</si>
  <si>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</si>
  <si>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</si>
  <si>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</si>
  <si>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</si>
  <si>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</si>
  <si>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</si>
  <si>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</si>
  <si>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</si>
  <si>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</si>
  <si>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</si>
  <si>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</si>
  <si>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</si>
  <si>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</si>
  <si>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</si>
  <si>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</si>
  <si>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</si>
  <si>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</si>
  <si>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</si>
  <si>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</si>
  <si>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</si>
  <si>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</si>
  <si>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</si>
  <si>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</si>
  <si>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</si>
  <si>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</si>
  <si>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</si>
  <si>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</si>
  <si>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</si>
  <si>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</si>
  <si>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</si>
  <si>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</si>
  <si>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</si>
  <si>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</si>
  <si>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</si>
  <si>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</si>
  <si>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</si>
  <si>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</si>
  <si>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</si>
  <si>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</si>
  <si>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</si>
  <si>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</si>
  <si>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</si>
  <si>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</si>
  <si>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</si>
  <si>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</si>
  <si>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</si>
  <si>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</si>
  <si>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</si>
  <si>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</si>
  <si>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</si>
  <si>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</si>
  <si>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</si>
  <si>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</si>
  <si>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</si>
  <si>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</si>
  <si>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</si>
  <si>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</si>
  <si>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</si>
  <si>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</si>
  <si>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</si>
  <si>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</si>
  <si>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</si>
  <si>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</si>
  <si>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</si>
  <si>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</si>
  <si>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</si>
  <si>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</si>
  <si>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</si>
  <si>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</si>
  <si>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</si>
  <si>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</si>
  <si>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</si>
  <si>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</si>
  <si>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</si>
  <si>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</si>
  <si>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</si>
  <si>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</si>
  <si>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</si>
  <si>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</si>
  <si>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</si>
  <si>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</si>
  <si>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</si>
  <si>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</si>
  <si>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</si>
  <si>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</si>
  <si>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</si>
  <si>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</si>
  <si>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</si>
  <si>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</si>
  <si>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</si>
  <si>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</si>
  <si>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</si>
  <si>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</si>
  <si>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</si>
  <si>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</si>
  <si>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</si>
  <si>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</si>
  <si>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</si>
  <si>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</si>
  <si>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</si>
  <si>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</si>
  <si>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</si>
  <si>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</si>
  <si>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</si>
  <si>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</si>
  <si>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</si>
  <si>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</si>
  <si>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</si>
  <si>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</si>
  <si>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</si>
  <si>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</si>
  <si>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</si>
  <si>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</si>
  <si>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</si>
  <si>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</si>
  <si>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</si>
  <si>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</si>
  <si>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</si>
  <si>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</si>
  <si>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</si>
  <si>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</si>
  <si>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</si>
  <si>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</si>
  <si>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</si>
  <si>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</si>
  <si>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</si>
  <si>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</si>
  <si>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</si>
  <si>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</si>
  <si>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</si>
  <si>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</si>
  <si>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</si>
  <si>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</si>
  <si>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</si>
  <si>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</si>
  <si>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</si>
  <si>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</si>
  <si>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</si>
  <si>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</si>
  <si>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</si>
  <si>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</si>
  <si>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</si>
  <si>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</si>
  <si>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</si>
  <si>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</si>
  <si>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</si>
  <si>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</si>
  <si>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</si>
  <si>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</si>
  <si>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</si>
  <si>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</si>
  <si>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</si>
  <si>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</si>
  <si>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</si>
  <si>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</si>
  <si>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</si>
  <si>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</si>
  <si>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</si>
  <si>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</si>
  <si>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</si>
  <si>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</si>
  <si>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</si>
  <si>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</si>
  <si>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</si>
  <si>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</si>
  <si>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</si>
  <si>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</si>
  <si>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</si>
  <si>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</si>
  <si>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</si>
  <si>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</si>
  <si>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</si>
  <si>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</si>
  <si>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</si>
  <si>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</si>
  <si>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</si>
  <si>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</si>
  <si>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</si>
  <si>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</si>
  <si>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</si>
  <si>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</si>
  <si>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</si>
  <si>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</si>
  <si>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</si>
  <si>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</si>
  <si>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</si>
  <si>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</si>
  <si>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</si>
  <si>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</si>
  <si>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</si>
  <si>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</si>
  <si>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</si>
  <si>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</si>
  <si>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</si>
  <si>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</si>
  <si>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</si>
  <si>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</si>
  <si>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</si>
  <si>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</si>
  <si>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</si>
  <si>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</si>
  <si>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</si>
  <si>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</si>
  <si>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</si>
  <si>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</si>
  <si>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</si>
  <si>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</si>
  <si>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</si>
  <si>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</si>
  <si>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</si>
  <si>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</si>
  <si>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</si>
  <si>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</si>
  <si>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</si>
  <si>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</si>
  <si>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</si>
  <si>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</si>
  <si>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</si>
  <si>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</si>
  <si>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</si>
  <si>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</si>
  <si>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</si>
  <si>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</si>
  <si>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</si>
  <si>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</si>
  <si>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</si>
  <si>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</si>
  <si>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</si>
  <si>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</si>
  <si>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</si>
  <si>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</si>
  <si>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</si>
  <si>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</si>
  <si>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</si>
  <si>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</si>
  <si>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</si>
  <si>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</si>
  <si>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</si>
  <si>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</si>
  <si>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</si>
  <si>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</si>
  <si>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</si>
  <si>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</si>
  <si>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</si>
  <si>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</si>
  <si>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</si>
  <si>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</si>
  <si>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</si>
  <si>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</si>
  <si>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</si>
  <si>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</si>
  <si>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</si>
  <si>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</si>
  <si>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</si>
  <si>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</si>
  <si>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</si>
  <si>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</si>
  <si>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</si>
  <si>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</si>
  <si>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</si>
  <si>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</si>
  <si>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</si>
  <si>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</si>
  <si>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</si>
  <si>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</si>
  <si>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</si>
  <si>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</si>
  <si>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</si>
  <si>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</si>
  <si>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</si>
  <si>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</si>
  <si>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</si>
  <si>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</si>
  <si>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</si>
  <si>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</si>
  <si>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</si>
  <si>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</si>
  <si>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</si>
  <si>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</si>
  <si>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</si>
  <si>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</si>
  <si>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</si>
  <si>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</si>
  <si>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</si>
  <si>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</si>
  <si>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</si>
  <si>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</si>
  <si>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</si>
  <si>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</si>
  <si>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</si>
  <si>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</si>
  <si>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</si>
  <si>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</si>
  <si>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</si>
  <si>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</si>
  <si>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</si>
  <si>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</si>
  <si>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</si>
  <si>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</si>
  <si>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</si>
  <si>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</si>
  <si>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</si>
  <si>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</si>
  <si>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</si>
  <si>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</si>
  <si>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</si>
  <si>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</si>
  <si>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</si>
  <si>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</si>
  <si>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</si>
  <si>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</si>
  <si>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</si>
  <si>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</si>
  <si>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</si>
  <si>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</si>
  <si>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</si>
  <si>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</si>
  <si>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</si>
  <si>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</si>
  <si>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</si>
  <si>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</si>
  <si>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</si>
  <si>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</si>
  <si>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</si>
  <si>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</si>
  <si>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</si>
  <si>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</si>
  <si>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</si>
  <si>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</si>
  <si>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</si>
  <si>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</si>
  <si>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</si>
  <si>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</si>
  <si>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</si>
  <si>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</si>
  <si>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</si>
  <si>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</si>
  <si>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</si>
  <si>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</si>
  <si>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</si>
  <si>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</si>
  <si>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A,B,C</t>
  </si>
  <si>
    <t>Quels sont les dispositifs pouvant constituer une A.E.S ?</t>
  </si>
  <si>
    <t>Un groupe électrogène</t>
  </si>
  <si>
    <t>Des batteries d’accumulateurs</t>
  </si>
  <si>
    <t>Le réseau électrique de distribution publique</t>
  </si>
  <si>
    <t>Un onduleur</t>
  </si>
  <si>
    <t>Qu’est-ce qu’un BAPI ?</t>
  </si>
  <si>
    <t>Une borne aménagée pour l’incendie</t>
  </si>
  <si>
    <t>Un balisage autonome particulier et indépendant</t>
  </si>
  <si>
    <t>Bloc autonome portable d’intervention</t>
  </si>
  <si>
    <t>Bloc autonome portable d’investigation</t>
  </si>
  <si>
    <t>L’autonomie d’une source de sécurité en ERP doit :</t>
  </si>
  <si>
    <t>Être suffisante pour alimenter la totalité des installations électriques</t>
  </si>
  <si>
    <t>Être suffisante pour alimenter la totalité des installations de sécurité pendant 1h00 minimum</t>
  </si>
  <si>
    <t>Être suffisante pour alimenter la totalité des installations de remplacement pendant 06h00</t>
  </si>
  <si>
    <t>Être définie dans tous les cas par la commission de sécurité compétente</t>
  </si>
  <si>
    <t>L’accès au TGBT est :</t>
  </si>
  <si>
    <t>Réservé au public</t>
  </si>
  <si>
    <t>Réservé au public si celui-ci est habilité H0B0</t>
  </si>
  <si>
    <t>Interdit aux agents SSIAP</t>
  </si>
  <si>
    <t>Réservé aux personnes qualifiées</t>
  </si>
  <si>
    <t>En ERP les batteries d’accumulateurs doivent être capables de secourir :</t>
  </si>
  <si>
    <t>Les ascenseurs</t>
  </si>
  <si>
    <t>Les systèmes d’alarme et d’alerte</t>
  </si>
  <si>
    <t>Les escaliers mécaniques</t>
  </si>
  <si>
    <t>Quels équipements de sécurité peut-on trouver dans une cabine d’ascenseur ?</t>
  </si>
  <si>
    <t>Un R.I.A</t>
  </si>
  <si>
    <t>Une sonnerie d’appel</t>
  </si>
  <si>
    <t>Une trousse de 1er secours</t>
  </si>
  <si>
    <t>Un éclairage de sécurité</t>
  </si>
  <si>
    <t>Un cendrier</t>
  </si>
  <si>
    <t>Afin d’empêcher les accidents de personnes, quels sont les dispositifs de protection équipant les ascenseurs ?</t>
  </si>
  <si>
    <t>Réducteur de vitesse</t>
  </si>
  <si>
    <t>Système "parachute"</t>
  </si>
  <si>
    <t>Système E.S.P.</t>
  </si>
  <si>
    <t>Système A.B.S.</t>
  </si>
  <si>
    <t>Porte palière avec sécurité anti-pincement</t>
  </si>
  <si>
    <t>Quelle est la caractéristique minimale de la source A d’une installation fixe d’extinction automatique à eau ?</t>
  </si>
  <si>
    <t>Réserve d’eau d’une demi-heure</t>
  </si>
  <si>
    <t>Réserve d’eau d’une heure</t>
  </si>
  <si>
    <t>Réserve d’eau d’une heure et demie</t>
  </si>
  <si>
    <t>Source d’eau potable</t>
  </si>
  <si>
    <t>Quelles vannes d’un poste de contrôle “SPRINKLEUR” sont normalement fermées ?</t>
  </si>
  <si>
    <t>La vanne d’alimentation et la vanne de vidange</t>
  </si>
  <si>
    <t>La vanne d’alimentation et la vanne de cloche</t>
  </si>
  <si>
    <t>La vanne de vidange et la vanne d’essai</t>
  </si>
  <si>
    <t>La vanne d’essai et la vanne de cloche</t>
  </si>
  <si>
    <t>Aucune des vannes</t>
  </si>
  <si>
    <t>Quelle est la caractéristique minimale de la source B d’une installation fixe d’extinction automatique à eau ?</t>
  </si>
  <si>
    <t>Source d’eau dite inépuisable</t>
  </si>
  <si>
    <t>Un poste sprinkler peut surveiller jusqu’à :</t>
  </si>
  <si>
    <t>99 têtes</t>
  </si>
  <si>
    <t>500 têtes</t>
  </si>
  <si>
    <t>1000 têtes</t>
  </si>
  <si>
    <t>10 000 têtes</t>
  </si>
  <si>
    <t>Le(s) quel(s) de ces équipements fait (font) partie d’une installation d’extinction automatique à eau ?</t>
  </si>
  <si>
    <t>Des têtes d’extinction</t>
  </si>
  <si>
    <t>Un réseau de canalisation</t>
  </si>
  <si>
    <t>Un poteau d’incendie</t>
  </si>
  <si>
    <t>Un poste de contrôle</t>
  </si>
  <si>
    <t>Un manomètre enregistreur</t>
  </si>
  <si>
    <t>La couleur rouge de l’ampoule d’une tête d’extinction correspond à une température de rupture de :</t>
  </si>
  <si>
    <t>57 °C</t>
  </si>
  <si>
    <t>68 °C</t>
  </si>
  <si>
    <t>79 °C</t>
  </si>
  <si>
    <t>90 °C</t>
  </si>
  <si>
    <t>Quels sont les agents extincteurs rencontrés dans une Installation Fixe d’Extinction Automatique à Gaz ?</t>
  </si>
  <si>
    <t>L’oxygène</t>
  </si>
  <si>
    <t>Le dioxyde de carbone</t>
  </si>
  <si>
    <t>Les gaz lourds</t>
  </si>
  <si>
    <t>Les agents inhibiteurs</t>
  </si>
  <si>
    <t>Les gaz inertes</t>
  </si>
  <si>
    <t>En IGH, quelle doit être la pression statique à assurer en permanence chaque colonne en charge ?</t>
  </si>
  <si>
    <t>Comprise entre 4 et 6 bars</t>
  </si>
  <si>
    <t>Comprise entre 5 et 7 bars</t>
  </si>
  <si>
    <t>Comprise entre 7 et 9 bars</t>
  </si>
  <si>
    <t>Variable selon le classement</t>
  </si>
  <si>
    <t>Quelles sont les opérations de surveillance à réaliser sur une colonne sèche ?</t>
  </si>
  <si>
    <t>Vérifier la présence des bouchons à chaque niveau</t>
  </si>
  <si>
    <t>Contrôler le bon fonctionnement de la robinetterie</t>
  </si>
  <si>
    <t>S’assurer que le local dans lequel la colonne sèche se trouve est fermé à clé</t>
  </si>
  <si>
    <t>S’assurer du libre accès des raccords d’alimentation</t>
  </si>
  <si>
    <t>Sur l'unité de signalisation qu'indique un voyant jaune fixe ?</t>
  </si>
  <si>
    <t>Un D.A.S. est en dérangement.</t>
  </si>
  <si>
    <t>Un D.A.S. n'est plus en position d'attente.</t>
  </si>
  <si>
    <t>Tous les D.A.S. sont en position d'attente</t>
  </si>
  <si>
    <t>Un D.A.S. est en position de sécurité</t>
  </si>
  <si>
    <t>Tous les D.A.S. sont en position de sécurité.</t>
  </si>
  <si>
    <t>Quelle est la durée minimale de la diffusion de l'alarme générale ?</t>
  </si>
  <si>
    <t>1 minute</t>
  </si>
  <si>
    <t>5 minutes</t>
  </si>
  <si>
    <t>10 minutes</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</si>
  <si>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</si>
  <si>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</si>
  <si>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</si>
  <si>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</si>
  <si>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</si>
  <si>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Les coffrets de relayage</t>
  </si>
  <si>
    <t>A quoi sert une U.G.C.I.S ?</t>
  </si>
  <si>
    <t>Centraliser les informations de la détection</t>
  </si>
  <si>
    <t>Commander depuis le PC les organes de sécurité</t>
  </si>
  <si>
    <t>Gérer les issues de secours</t>
  </si>
  <si>
    <t>Visualiser les détections</t>
  </si>
  <si>
    <t>Qu'indique l'Unité de Signalisation lorsqu'un "voyant rouge" clignote?</t>
  </si>
  <si>
    <t>Un défaut de ligne</t>
  </si>
  <si>
    <t>Une zone mise hors service</t>
  </si>
  <si>
    <t>Les Dispositifs Actionnés de Sécurité en position de sécurité</t>
  </si>
  <si>
    <t>Les Dispositifs Actionnés de Sécurité en position d'attente</t>
  </si>
  <si>
    <t>Les lampes de l'unité de signalisation sont défectueuses</t>
  </si>
  <si>
    <t>Dans cette liste, quel(s) élément(s) entre(nt) dans la composition d'un S.S.I. de catégorie A ?</t>
  </si>
  <si>
    <t>L'unité manuelle de commande</t>
  </si>
  <si>
    <t>Le centralisateur de mise en sécurité incendie</t>
  </si>
  <si>
    <t>L'unité de gestion d'alerte</t>
  </si>
  <si>
    <t>Les alimentations électriques de sécurité</t>
  </si>
  <si>
    <t>L'agent de sécurité</t>
  </si>
  <si>
    <t>L'Unité de Gestion d'Alarme</t>
  </si>
  <si>
    <t>En IGH, que se passe-t-il lorsqu'un D.A.I. est sensibilisé dans une circulation horizontale commune?</t>
  </si>
  <si>
    <t>Il ne se passe rien</t>
  </si>
  <si>
    <t>Diffusion d'un message pré enregistré</t>
  </si>
  <si>
    <t>Diffusion de l'alarme générale sonore dans tout le bâtiment</t>
  </si>
  <si>
    <t>Diffusion de l'alarme générale sonore dans le compartiment sinistré</t>
  </si>
  <si>
    <t>Aucune réponse précédente</t>
  </si>
  <si>
    <t>A quel principe de fonctionnement associe-t-on un détecteur thermo vélocimétrique ?</t>
  </si>
  <si>
    <t>À l'élévation de la température dans un temps donné</t>
  </si>
  <si>
    <t>A l'association de l'élévation de température et de fumées</t>
  </si>
  <si>
    <t>A l'association de l'élévation de température et de flammes</t>
  </si>
  <si>
    <t>À l'élévation de la température et détection de vapeurs combustibles</t>
  </si>
  <si>
    <t>En I.G.H, quelles fonctions comporte la mise en sécurité ?</t>
  </si>
  <si>
    <t>Alerte des secours publics</t>
  </si>
  <si>
    <t>Rappel des ascenseurs prioritaires</t>
  </si>
  <si>
    <t>Compartimentage</t>
  </si>
  <si>
    <t>Désenfumage</t>
  </si>
  <si>
    <t>Quel est la fonction de l’ECS ou TS ?</t>
  </si>
  <si>
    <t>De collecter les informations provenant des DAS et de nous informer de leur état</t>
  </si>
  <si>
    <t>De mettre en sécurité le bâtiment</t>
  </si>
  <si>
    <t>De collecter les informations provenant des détecteurs et de nous informer de leur état</t>
  </si>
  <si>
    <t>Quels sont les éléments composant un SMSI ?</t>
  </si>
  <si>
    <t>Un SDI</t>
  </si>
  <si>
    <t>Un ou plusieurs DAS</t>
  </si>
  <si>
    <t>Un ou plusieurs DM</t>
  </si>
  <si>
    <t>Un CMSI</t>
  </si>
  <si>
    <t>Un ou plusieurs DAI</t>
  </si>
  <si>
    <t>Quels éléments peuvent entrer dans la composition d’un SMSI ?</t>
  </si>
  <si>
    <t>Des DAS</t>
  </si>
  <si>
    <t>Une AES</t>
  </si>
  <si>
    <t>Aucune des réponses</t>
  </si>
  <si>
    <t>Qu’est-ce qu’une U.A.E ?</t>
  </si>
  <si>
    <t>Une Unité d’Aide à l’Entraînement</t>
  </si>
  <si>
    <t>Une Unité d’Assistance à l’Exploitation</t>
  </si>
  <si>
    <t>Une Unité Assistée d’Évacuation</t>
  </si>
  <si>
    <t>Une Unité d’Aide à l’Exploitation</t>
  </si>
  <si>
    <t>Quels sont les DAS qui participent à la fonction de désenfumage ?</t>
  </si>
  <si>
    <t>Les volets de désenfumage</t>
  </si>
  <si>
    <t>Les clapets coupe-feu</t>
  </si>
  <si>
    <t>Les exutoires</t>
  </si>
  <si>
    <t>Les diffuseurs sonores</t>
  </si>
  <si>
    <t>Les ouvrants en façade</t>
  </si>
  <si>
    <t>Les portes coupe-feu</t>
  </si>
  <si>
    <t>Qu’est-ce que l’alarme restreinte ?</t>
  </si>
  <si>
    <t>Un signal direct au centre d’incendie et de secours</t>
  </si>
  <si>
    <t>Un signal d’évacuation qui prévient les occupants</t>
  </si>
  <si>
    <t>Un appel téléphonique au chef d’établissement</t>
  </si>
  <si>
    <t>Un dispositif de communication entre les agents de sécurité</t>
  </si>
  <si>
    <t>En ERP, on trouve des D.M dans un S.S.I de catégorie :</t>
  </si>
  <si>
    <t>Quel est le niveau d’accès pour effectuer un réarmement sur le SSI ?</t>
  </si>
  <si>
    <t>Niveau d’accès 0</t>
  </si>
  <si>
    <t>Niveau d’accès 1</t>
  </si>
  <si>
    <t>Niveau d’accès 2</t>
  </si>
  <si>
    <t>Niveau d’accès 3</t>
  </si>
  <si>
    <t>Niveau d’accès 4</t>
  </si>
  <si>
    <t>Niveau d’accès 5</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</si>
  <si>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</si>
  <si>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</si>
  <si>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</si>
  <si>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</si>
  <si>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</si>
  <si>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À quoi sert une U.C.M.C ?</t>
  </si>
  <si>
    <t>Commander depuis le C.M.S.I les dispositifs actionnés de sécurité</t>
  </si>
  <si>
    <t>Dans quelles catégories de S.S.I trouve-t-on un C.M.S.I ?</t>
  </si>
  <si>
    <t>Catégorie A</t>
  </si>
  <si>
    <t>Catégorie B</t>
  </si>
  <si>
    <t>Catégorie C</t>
  </si>
  <si>
    <t>Catégorie D</t>
  </si>
  <si>
    <t>Catégorie E</t>
  </si>
  <si>
    <t>17</t>
  </si>
  <si>
    <t>18</t>
  </si>
  <si>
    <t>19</t>
  </si>
  <si>
    <t>20</t>
  </si>
  <si>
    <t>Lorsqu’un feu se déclare dans une circulation horizontale commune d’un IGH, plusieurs mises en sécurité automatiques sont déclenchées par le SSI de catégorie A, option IGH, conformément à la réglementation (arrêté du 30 décembre 2011 et instructions techniques) : détection → désenfumage → fermeture des portes coupe-feu → déverrouillage des accès → alarme → possibilité de commande manuelle</t>
  </si>
  <si>
    <t>La sensibilisation d’un D.A.I. dans une circulation horizontale commune déclenche le scénario de mise en sécurité du compartiment concerné, qui comprend : Déclenchement de l’alarme incendie dans la zone concernée (diffusion limitée au compartiment), Activation du désenfumage, Fermeture des portes coupe-feu, Déverrouillage des dispositifs de contrôle d’accès, Transmission de l’information au CMSI</t>
  </si>
  <si>
    <t>Dans un dispositif d’intercommunication (zone tampon entre l’escalier et le compartiment d’un IGH), le plan du niveau affiché dans cette zone doit indiquer clairement :
L’emplacement du dispositif d’intercommunication lui-même (où se trouve la zone tampon).
L’emplacement des escaliers protégés (issues verticales).
L’emplacement des sorties vers les compartiments.
Les itinéraires d’évacuation (cheminement vers les escaliers).
Les dispositifs de sécurité (ex. : commandes manuelles, extincteurs, déclencheurs manuels d’alarme).</t>
  </si>
  <si>
    <t>B,E</t>
  </si>
  <si>
    <t>A,B,E,F</t>
  </si>
  <si>
    <t>F</t>
  </si>
  <si>
    <t>B,D,F</t>
  </si>
  <si>
    <t>nb_questions_exam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</si>
</sst>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name val="Calibri"/>
    </font>
    <font>
      <sz val="11"/>
      <color rgb="FF000000"/>
      <name val="Calibri"/>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s>
  <fills count="6">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17">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0" fillId="5" borderId="0" xfId="0" applyFill="1" applyAlignment="1">
      <alignment vertical="top"/>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45</v>
      </c>
      <c r="B1" s="11" t="s">
        <v>46</v>
      </c>
    </row>
    <row r="2" spans="1:2" x14ac:dyDescent="0.25">
      <c r="A2" s="2" t="s">
        <v>47</v>
      </c>
      <c r="B2" s="2" t="s">
        <v>48</v>
      </c>
    </row>
    <row r="3" spans="1:2" x14ac:dyDescent="0.25">
      <c r="A3" s="2" t="s">
        <v>49</v>
      </c>
      <c r="B3" s="2" t="s">
        <v>50</v>
      </c>
    </row>
    <row r="4" spans="1:2" x14ac:dyDescent="0.25">
      <c r="A4" s="2" t="s">
        <v>51</v>
      </c>
      <c r="B4" s="2" t="s">
        <v>52</v>
      </c>
    </row>
    <row r="5" spans="1:2" x14ac:dyDescent="0.25">
      <c r="A5" s="2" t="s">
        <v>53</v>
      </c>
      <c r="B5" s="2" t="s">
        <v>54</v>
      </c>
    </row>
    <row r="6" spans="1:2" x14ac:dyDescent="0.25">
      <c r="A6" s="2" t="s">
        <v>55</v>
      </c>
      <c r="B6" s="2" t="s">
        <v>56</v>
      </c>
    </row>
    <row r="7" spans="1:2" x14ac:dyDescent="0.25">
      <c r="A7" s="2" t="s">
        <v>57</v>
      </c>
      <c r="B7" s="2" t="s">
        <v>58</v>
      </c>
    </row>
    <row r="8" spans="1:2" x14ac:dyDescent="0.25">
      <c r="A8" s="2" t="s">
        <v>59</v>
      </c>
      <c r="B8" s="2" t="s">
        <v>60</v>
      </c>
    </row>
    <row r="9" spans="1:2" x14ac:dyDescent="0.25">
      <c r="A9" s="2" t="s">
        <v>61</v>
      </c>
      <c r="B9" s="2" t="s">
        <v>62</v>
      </c>
    </row>
    <row r="10" spans="1:2" x14ac:dyDescent="0.25">
      <c r="A10" s="2" t="s">
        <v>63</v>
      </c>
      <c r="B10" s="2" t="s">
        <v>64</v>
      </c>
    </row>
    <row r="11" spans="1:2" x14ac:dyDescent="0.25">
      <c r="A11" s="2" t="s">
        <v>65</v>
      </c>
      <c r="B11" s="2" t="s">
        <v>66</v>
      </c>
    </row>
    <row r="12" spans="1:2" x14ac:dyDescent="0.25">
      <c r="A12" s="2" t="s">
        <v>67</v>
      </c>
      <c r="B12" s="2" t="s">
        <v>68</v>
      </c>
    </row>
    <row r="13" spans="1:2" x14ac:dyDescent="0.25">
      <c r="A13" s="2" t="s">
        <v>69</v>
      </c>
      <c r="B13" s="2" t="s">
        <v>70</v>
      </c>
    </row>
    <row r="14" spans="1:2" x14ac:dyDescent="0.25">
      <c r="A14" s="2" t="s">
        <v>71</v>
      </c>
      <c r="B14" s="2" t="s">
        <v>72</v>
      </c>
    </row>
    <row r="15" spans="1:2" x14ac:dyDescent="0.25">
      <c r="A15" s="2" t="s">
        <v>73</v>
      </c>
      <c r="B15" s="2" t="s">
        <v>74</v>
      </c>
    </row>
    <row r="16" spans="1:2" x14ac:dyDescent="0.25">
      <c r="A16" s="2" t="s">
        <v>75</v>
      </c>
      <c r="B16" s="2" t="s">
        <v>76</v>
      </c>
    </row>
    <row r="17" spans="1:2" x14ac:dyDescent="0.25">
      <c r="A17" s="2" t="s">
        <v>77</v>
      </c>
      <c r="B17" s="2" t="s">
        <v>78</v>
      </c>
    </row>
    <row r="18" spans="1:2" x14ac:dyDescent="0.25">
      <c r="A18" s="2" t="s">
        <v>79</v>
      </c>
      <c r="B18" s="2" t="s">
        <v>80</v>
      </c>
    </row>
    <row r="19" spans="1:2" x14ac:dyDescent="0.25">
      <c r="A19" s="2" t="s">
        <v>81</v>
      </c>
      <c r="B19" s="2" t="s">
        <v>82</v>
      </c>
    </row>
    <row r="20" spans="1:2" x14ac:dyDescent="0.25">
      <c r="A20" s="2" t="s">
        <v>83</v>
      </c>
      <c r="B20" s="2" t="s">
        <v>84</v>
      </c>
    </row>
    <row r="21" spans="1:2" x14ac:dyDescent="0.25">
      <c r="A21" s="2" t="s">
        <v>85</v>
      </c>
      <c r="B21" s="2" t="s">
        <v>86</v>
      </c>
    </row>
    <row r="22" spans="1:2" x14ac:dyDescent="0.25">
      <c r="A22" s="2" t="s">
        <v>33</v>
      </c>
      <c r="B22" s="2" t="s">
        <v>87</v>
      </c>
    </row>
    <row r="23" spans="1:2" x14ac:dyDescent="0.25">
      <c r="A23" s="2" t="s">
        <v>88</v>
      </c>
      <c r="B23" s="2" t="s">
        <v>89</v>
      </c>
    </row>
    <row r="24" spans="1:2" x14ac:dyDescent="0.25">
      <c r="A24" s="2" t="s">
        <v>90</v>
      </c>
      <c r="B24" s="2" t="s">
        <v>91</v>
      </c>
    </row>
    <row r="25" spans="1:2" x14ac:dyDescent="0.25">
      <c r="A25" s="2" t="s">
        <v>92</v>
      </c>
      <c r="B25" s="2" t="s">
        <v>93</v>
      </c>
    </row>
    <row r="26" spans="1:2" x14ac:dyDescent="0.25">
      <c r="A26" s="2" t="s">
        <v>94</v>
      </c>
      <c r="B26" s="2" t="s">
        <v>95</v>
      </c>
    </row>
    <row r="27" spans="1:2" x14ac:dyDescent="0.25">
      <c r="A27" s="2" t="s">
        <v>96</v>
      </c>
      <c r="B27" s="2" t="s">
        <v>97</v>
      </c>
    </row>
    <row r="28" spans="1:2" x14ac:dyDescent="0.25">
      <c r="A28" s="2" t="s">
        <v>98</v>
      </c>
      <c r="B28" s="2" t="s">
        <v>99</v>
      </c>
    </row>
    <row r="29" spans="1:2" x14ac:dyDescent="0.25">
      <c r="A29" s="2" t="s">
        <v>32</v>
      </c>
      <c r="B29" s="2" t="s">
        <v>100</v>
      </c>
    </row>
    <row r="30" spans="1:2" x14ac:dyDescent="0.25">
      <c r="A30" s="2" t="s">
        <v>101</v>
      </c>
      <c r="B30" s="2" t="s">
        <v>102</v>
      </c>
    </row>
    <row r="31" spans="1:2" x14ac:dyDescent="0.25">
      <c r="A31" s="2" t="s">
        <v>103</v>
      </c>
      <c r="B31" s="2" t="s">
        <v>104</v>
      </c>
    </row>
    <row r="32" spans="1:2" x14ac:dyDescent="0.25">
      <c r="A32" s="2" t="s">
        <v>105</v>
      </c>
      <c r="B32" s="2" t="s">
        <v>106</v>
      </c>
    </row>
    <row r="33" spans="1:2" x14ac:dyDescent="0.25">
      <c r="A33" s="2" t="s">
        <v>107</v>
      </c>
      <c r="B33" s="2" t="s">
        <v>108</v>
      </c>
    </row>
    <row r="34" spans="1:2" x14ac:dyDescent="0.25">
      <c r="A34" s="2" t="s">
        <v>109</v>
      </c>
      <c r="B34" s="2" t="s">
        <v>110</v>
      </c>
    </row>
    <row r="35" spans="1:2" x14ac:dyDescent="0.25">
      <c r="A35" s="2" t="s">
        <v>111</v>
      </c>
      <c r="B35" s="2" t="s">
        <v>112</v>
      </c>
    </row>
    <row r="36" spans="1:2" x14ac:dyDescent="0.25">
      <c r="A36" s="2" t="s">
        <v>113</v>
      </c>
      <c r="B36" s="2" t="s">
        <v>114</v>
      </c>
    </row>
    <row r="37" spans="1:2" x14ac:dyDescent="0.25">
      <c r="A37" s="2" t="s">
        <v>115</v>
      </c>
      <c r="B37" s="2" t="s">
        <v>116</v>
      </c>
    </row>
    <row r="38" spans="1:2" x14ac:dyDescent="0.25">
      <c r="A38" s="2" t="s">
        <v>117</v>
      </c>
      <c r="B38" s="2" t="s">
        <v>118</v>
      </c>
    </row>
    <row r="39" spans="1:2" x14ac:dyDescent="0.25">
      <c r="A39" s="2" t="s">
        <v>119</v>
      </c>
      <c r="B39" s="2" t="s">
        <v>120</v>
      </c>
    </row>
    <row r="40" spans="1:2" x14ac:dyDescent="0.25">
      <c r="A40" s="2" t="s">
        <v>121</v>
      </c>
      <c r="B40" s="2" t="s">
        <v>122</v>
      </c>
    </row>
    <row r="41" spans="1:2" x14ac:dyDescent="0.25">
      <c r="A41" s="2" t="s">
        <v>123</v>
      </c>
      <c r="B41" s="2" t="s">
        <v>124</v>
      </c>
    </row>
    <row r="42" spans="1:2" x14ac:dyDescent="0.25">
      <c r="A42" s="2" t="s">
        <v>125</v>
      </c>
      <c r="B42" s="2" t="s">
        <v>126</v>
      </c>
    </row>
    <row r="43" spans="1:2" x14ac:dyDescent="0.25">
      <c r="A43" s="2" t="s">
        <v>127</v>
      </c>
      <c r="B43" s="2" t="s">
        <v>30</v>
      </c>
    </row>
    <row r="44" spans="1:2" x14ac:dyDescent="0.25">
      <c r="A44" s="2" t="s">
        <v>128</v>
      </c>
      <c r="B44" s="2" t="s">
        <v>129</v>
      </c>
    </row>
    <row r="45" spans="1:2" x14ac:dyDescent="0.25">
      <c r="A45" s="2" t="s">
        <v>130</v>
      </c>
      <c r="B45" s="2" t="s">
        <v>131</v>
      </c>
    </row>
    <row r="46" spans="1:2" x14ac:dyDescent="0.25">
      <c r="A46" s="2" t="s">
        <v>132</v>
      </c>
      <c r="B46" s="2" t="s">
        <v>133</v>
      </c>
    </row>
    <row r="47" spans="1:2" x14ac:dyDescent="0.25">
      <c r="A47" s="2" t="s">
        <v>134</v>
      </c>
      <c r="B47" s="2" t="s">
        <v>135</v>
      </c>
    </row>
    <row r="48" spans="1:2" x14ac:dyDescent="0.25">
      <c r="A48" s="2" t="s">
        <v>136</v>
      </c>
      <c r="B48" s="2" t="s">
        <v>137</v>
      </c>
    </row>
    <row r="49" spans="1:2" x14ac:dyDescent="0.25">
      <c r="A49" s="2" t="s">
        <v>138</v>
      </c>
      <c r="B49" s="2" t="s">
        <v>31</v>
      </c>
    </row>
    <row r="50" spans="1:2" x14ac:dyDescent="0.25">
      <c r="A50" s="2" t="s">
        <v>139</v>
      </c>
      <c r="B50" s="2" t="s">
        <v>140</v>
      </c>
    </row>
    <row r="51" spans="1:2" x14ac:dyDescent="0.25">
      <c r="A51" s="2" t="s">
        <v>141</v>
      </c>
      <c r="B51" s="2" t="s">
        <v>142</v>
      </c>
    </row>
    <row r="52" spans="1:2" x14ac:dyDescent="0.25">
      <c r="A52" s="2" t="s">
        <v>143</v>
      </c>
      <c r="B52" s="2" t="s">
        <v>144</v>
      </c>
    </row>
    <row r="53" spans="1:2" x14ac:dyDescent="0.25">
      <c r="A53" s="2" t="s">
        <v>145</v>
      </c>
      <c r="B53" s="2" t="s">
        <v>146</v>
      </c>
    </row>
    <row r="54" spans="1:2" x14ac:dyDescent="0.25">
      <c r="A54" s="2" t="s">
        <v>147</v>
      </c>
      <c r="B54" s="2" t="s">
        <v>148</v>
      </c>
    </row>
    <row r="55" spans="1:2" x14ac:dyDescent="0.25">
      <c r="A55" s="2" t="s">
        <v>149</v>
      </c>
      <c r="B55" s="2" t="s">
        <v>150</v>
      </c>
    </row>
    <row r="56" spans="1:2" x14ac:dyDescent="0.25">
      <c r="A56" s="2" t="s">
        <v>151</v>
      </c>
      <c r="B56" s="2" t="s">
        <v>152</v>
      </c>
    </row>
    <row r="57" spans="1:2" x14ac:dyDescent="0.25">
      <c r="A57" s="2" t="s">
        <v>153</v>
      </c>
      <c r="B57" s="2" t="s">
        <v>154</v>
      </c>
    </row>
    <row r="58" spans="1:2" x14ac:dyDescent="0.25">
      <c r="A58" s="2" t="s">
        <v>155</v>
      </c>
      <c r="B58" s="2" t="s">
        <v>156</v>
      </c>
    </row>
    <row r="59" spans="1:2" x14ac:dyDescent="0.25">
      <c r="A59" s="2" t="s">
        <v>157</v>
      </c>
      <c r="B59" s="2" t="s">
        <v>158</v>
      </c>
    </row>
    <row r="60" spans="1:2" x14ac:dyDescent="0.25">
      <c r="A60" s="2" t="s">
        <v>159</v>
      </c>
      <c r="B60" s="2" t="s">
        <v>160</v>
      </c>
    </row>
    <row r="61" spans="1:2" x14ac:dyDescent="0.25">
      <c r="A61" s="2" t="s">
        <v>161</v>
      </c>
      <c r="B61" s="2" t="s">
        <v>162</v>
      </c>
    </row>
    <row r="62" spans="1:2" x14ac:dyDescent="0.25">
      <c r="A62" s="2" t="s">
        <v>163</v>
      </c>
      <c r="B62" s="2" t="s">
        <v>164</v>
      </c>
    </row>
    <row r="63" spans="1:2" x14ac:dyDescent="0.25">
      <c r="A63" s="2" t="s">
        <v>165</v>
      </c>
      <c r="B63" s="2" t="s">
        <v>166</v>
      </c>
    </row>
    <row r="64" spans="1:2" x14ac:dyDescent="0.25">
      <c r="A64" s="2" t="s">
        <v>167</v>
      </c>
      <c r="B64" s="2" t="s">
        <v>168</v>
      </c>
    </row>
    <row r="65" spans="1:2" x14ac:dyDescent="0.25">
      <c r="A65" s="2" t="s">
        <v>169</v>
      </c>
      <c r="B65" s="2" t="s">
        <v>170</v>
      </c>
    </row>
    <row r="66" spans="1:2" x14ac:dyDescent="0.25">
      <c r="A66" s="2" t="s">
        <v>171</v>
      </c>
      <c r="B66" s="2" t="s">
        <v>172</v>
      </c>
    </row>
    <row r="67" spans="1:2" x14ac:dyDescent="0.25">
      <c r="A67" s="2" t="s">
        <v>173</v>
      </c>
      <c r="B67" s="2" t="s">
        <v>174</v>
      </c>
    </row>
    <row r="68" spans="1:2" x14ac:dyDescent="0.25">
      <c r="A68" s="2" t="s">
        <v>175</v>
      </c>
      <c r="B68" s="2" t="s">
        <v>176</v>
      </c>
    </row>
    <row r="69" spans="1:2" x14ac:dyDescent="0.25">
      <c r="A69" s="2" t="s">
        <v>35</v>
      </c>
      <c r="B69" s="2" t="s">
        <v>177</v>
      </c>
    </row>
    <row r="70" spans="1:2" x14ac:dyDescent="0.25">
      <c r="A70" s="2" t="s">
        <v>178</v>
      </c>
      <c r="B70" s="2" t="s">
        <v>179</v>
      </c>
    </row>
    <row r="71" spans="1:2" x14ac:dyDescent="0.25">
      <c r="A71" s="2" t="s">
        <v>34</v>
      </c>
      <c r="B71" s="2" t="s">
        <v>180</v>
      </c>
    </row>
    <row r="72" spans="1:2" x14ac:dyDescent="0.25">
      <c r="A72" s="2" t="s">
        <v>181</v>
      </c>
      <c r="B72" s="2" t="s">
        <v>182</v>
      </c>
    </row>
    <row r="73" spans="1:2" x14ac:dyDescent="0.25">
      <c r="A73" s="2" t="s">
        <v>183</v>
      </c>
      <c r="B73" s="2" t="s">
        <v>184</v>
      </c>
    </row>
    <row r="74" spans="1:2" x14ac:dyDescent="0.25">
      <c r="A74" s="2" t="s">
        <v>185</v>
      </c>
      <c r="B74" s="2" t="s">
        <v>186</v>
      </c>
    </row>
    <row r="75" spans="1:2" x14ac:dyDescent="0.25">
      <c r="A75" s="2" t="s">
        <v>187</v>
      </c>
      <c r="B75" s="2" t="s">
        <v>188</v>
      </c>
    </row>
    <row r="76" spans="1:2" x14ac:dyDescent="0.25">
      <c r="A76" s="2" t="s">
        <v>189</v>
      </c>
      <c r="B76" s="2" t="s">
        <v>190</v>
      </c>
    </row>
    <row r="77" spans="1:2" x14ac:dyDescent="0.25">
      <c r="A77" s="2" t="s">
        <v>191</v>
      </c>
      <c r="B77" s="2" t="s">
        <v>192</v>
      </c>
    </row>
    <row r="78" spans="1:2" x14ac:dyDescent="0.25">
      <c r="A78" s="2" t="s">
        <v>193</v>
      </c>
      <c r="B78" s="2" t="s">
        <v>194</v>
      </c>
    </row>
    <row r="79" spans="1:2" x14ac:dyDescent="0.25">
      <c r="A79" s="2" t="s">
        <v>195</v>
      </c>
      <c r="B79" s="2" t="s">
        <v>196</v>
      </c>
    </row>
    <row r="80" spans="1:2" x14ac:dyDescent="0.25">
      <c r="A80" s="2" t="s">
        <v>197</v>
      </c>
      <c r="B80" s="2" t="s">
        <v>198</v>
      </c>
    </row>
    <row r="81" spans="1:2" x14ac:dyDescent="0.25">
      <c r="A81" s="2" t="s">
        <v>199</v>
      </c>
      <c r="B81" s="2" t="s">
        <v>200</v>
      </c>
    </row>
    <row r="82" spans="1:2" x14ac:dyDescent="0.25">
      <c r="A82" s="2" t="s">
        <v>201</v>
      </c>
      <c r="B82" s="2" t="s">
        <v>202</v>
      </c>
    </row>
    <row r="83" spans="1:2" x14ac:dyDescent="0.25">
      <c r="A83" s="2" t="s">
        <v>203</v>
      </c>
      <c r="B83" s="2" t="s">
        <v>204</v>
      </c>
    </row>
    <row r="84" spans="1:2" x14ac:dyDescent="0.25">
      <c r="A84" s="2" t="s">
        <v>205</v>
      </c>
      <c r="B84" s="2" t="s">
        <v>206</v>
      </c>
    </row>
    <row r="85" spans="1:2" x14ac:dyDescent="0.25">
      <c r="A85" s="2" t="s">
        <v>207</v>
      </c>
      <c r="B85" s="2" t="s">
        <v>208</v>
      </c>
    </row>
    <row r="86" spans="1:2" x14ac:dyDescent="0.25">
      <c r="A86" s="2" t="s">
        <v>209</v>
      </c>
      <c r="B86" s="2" t="s">
        <v>210</v>
      </c>
    </row>
    <row r="87" spans="1:2" x14ac:dyDescent="0.25">
      <c r="A87" s="2" t="s">
        <v>211</v>
      </c>
      <c r="B87" s="2" t="s">
        <v>212</v>
      </c>
    </row>
    <row r="88" spans="1:2" x14ac:dyDescent="0.25">
      <c r="A88" s="2" t="s">
        <v>213</v>
      </c>
      <c r="B88" s="2" t="s">
        <v>214</v>
      </c>
    </row>
    <row r="89" spans="1:2" x14ac:dyDescent="0.25">
      <c r="A89" s="2" t="s">
        <v>215</v>
      </c>
      <c r="B89" s="2" t="s">
        <v>216</v>
      </c>
    </row>
    <row r="90" spans="1:2" x14ac:dyDescent="0.25">
      <c r="A90" s="2" t="s">
        <v>217</v>
      </c>
      <c r="B90" s="2" t="s">
        <v>218</v>
      </c>
    </row>
    <row r="91" spans="1:2" x14ac:dyDescent="0.25">
      <c r="A91" s="2" t="s">
        <v>219</v>
      </c>
      <c r="B91" s="2" t="s">
        <v>220</v>
      </c>
    </row>
    <row r="92" spans="1:2" x14ac:dyDescent="0.25">
      <c r="A92" s="2" t="s">
        <v>221</v>
      </c>
      <c r="B92" s="2" t="s">
        <v>222</v>
      </c>
    </row>
    <row r="93" spans="1:2" x14ac:dyDescent="0.25">
      <c r="A93" s="2" t="s">
        <v>223</v>
      </c>
      <c r="B93" s="2" t="s">
        <v>224</v>
      </c>
    </row>
    <row r="94" spans="1:2" x14ac:dyDescent="0.25">
      <c r="A94" s="2" t="s">
        <v>225</v>
      </c>
      <c r="B94" s="2" t="s">
        <v>226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128"/>
  <sheetViews>
    <sheetView tabSelected="1" workbookViewId="0">
      <pane xSplit="3" ySplit="1" topLeftCell="D94" activePane="bottomRight" state="frozen"/>
      <selection pane="topRight" activeCell="D1" sqref="D1"/>
      <selection pane="bottomLeft" activeCell="A2" sqref="A2"/>
      <selection pane="bottomRight" activeCell="A128" sqref="A128"/>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246</v>
      </c>
      <c r="K1" s="3" t="s">
        <v>433</v>
      </c>
      <c r="L1" s="2" t="s">
        <v>445</v>
      </c>
    </row>
    <row r="2" spans="1:12" x14ac:dyDescent="0.25">
      <c r="A2" s="5" t="s">
        <v>228</v>
      </c>
      <c r="B2" s="5" t="s">
        <v>9</v>
      </c>
      <c r="C2" s="2" t="s">
        <v>247</v>
      </c>
      <c r="D2" s="2" t="s">
        <v>244</v>
      </c>
      <c r="E2" s="2" t="s">
        <v>248</v>
      </c>
      <c r="F2" s="2" t="s">
        <v>249</v>
      </c>
      <c r="G2" s="2" t="s">
        <v>250</v>
      </c>
      <c r="H2" s="2" t="s">
        <v>29</v>
      </c>
      <c r="K2" s="6" t="s">
        <v>19</v>
      </c>
    </row>
    <row r="3" spans="1:12" x14ac:dyDescent="0.25">
      <c r="A3" s="5" t="s">
        <v>228</v>
      </c>
      <c r="B3" s="5" t="s">
        <v>11</v>
      </c>
      <c r="C3" s="2" t="s">
        <v>251</v>
      </c>
      <c r="D3" s="2" t="s">
        <v>252</v>
      </c>
      <c r="E3" s="2" t="s">
        <v>253</v>
      </c>
      <c r="F3" s="2" t="s">
        <v>254</v>
      </c>
      <c r="G3" s="2" t="s">
        <v>245</v>
      </c>
      <c r="H3" s="2" t="s">
        <v>255</v>
      </c>
      <c r="I3" s="2" t="s">
        <v>256</v>
      </c>
      <c r="J3" s="2" t="s">
        <v>29</v>
      </c>
      <c r="K3" s="6" t="s">
        <v>434</v>
      </c>
    </row>
    <row r="4" spans="1:12" x14ac:dyDescent="0.25">
      <c r="A4" s="5" t="s">
        <v>228</v>
      </c>
      <c r="B4" s="5" t="s">
        <v>13</v>
      </c>
      <c r="C4" s="2" t="s">
        <v>257</v>
      </c>
      <c r="D4" s="2" t="s">
        <v>258</v>
      </c>
      <c r="E4" s="2" t="s">
        <v>252</v>
      </c>
      <c r="F4" s="2" t="s">
        <v>259</v>
      </c>
      <c r="G4" s="2" t="s">
        <v>260</v>
      </c>
      <c r="H4" s="2" t="s">
        <v>261</v>
      </c>
      <c r="I4" s="2" t="s">
        <v>29</v>
      </c>
      <c r="K4" s="6" t="s">
        <v>10</v>
      </c>
    </row>
    <row r="5" spans="1:12" x14ac:dyDescent="0.25">
      <c r="A5" s="5" t="s">
        <v>228</v>
      </c>
      <c r="B5" s="5" t="s">
        <v>14</v>
      </c>
      <c r="C5" s="2" t="s">
        <v>262</v>
      </c>
      <c r="D5" s="2" t="s">
        <v>263</v>
      </c>
      <c r="E5" s="2" t="s">
        <v>264</v>
      </c>
      <c r="F5" s="2" t="s">
        <v>265</v>
      </c>
      <c r="G5" s="2" t="s">
        <v>266</v>
      </c>
      <c r="H5" s="2" t="s">
        <v>267</v>
      </c>
      <c r="I5" s="2" t="s">
        <v>29</v>
      </c>
      <c r="K5" s="6" t="s">
        <v>10</v>
      </c>
    </row>
    <row r="6" spans="1:12" x14ac:dyDescent="0.25">
      <c r="A6" s="5" t="s">
        <v>228</v>
      </c>
      <c r="B6" s="5" t="s">
        <v>15</v>
      </c>
      <c r="C6" s="2" t="s">
        <v>268</v>
      </c>
      <c r="D6" s="2" t="s">
        <v>269</v>
      </c>
      <c r="E6" s="2" t="s">
        <v>270</v>
      </c>
      <c r="F6" s="2" t="s">
        <v>271</v>
      </c>
      <c r="G6" s="2" t="s">
        <v>272</v>
      </c>
      <c r="H6" s="2" t="s">
        <v>273</v>
      </c>
      <c r="I6" s="2" t="s">
        <v>29</v>
      </c>
      <c r="K6" s="6" t="s">
        <v>19</v>
      </c>
    </row>
    <row r="7" spans="1:12" x14ac:dyDescent="0.25">
      <c r="A7" s="5" t="s">
        <v>228</v>
      </c>
      <c r="B7" s="5" t="s">
        <v>17</v>
      </c>
      <c r="C7" s="2" t="s">
        <v>274</v>
      </c>
      <c r="D7" s="2" t="s">
        <v>275</v>
      </c>
      <c r="E7" s="2" t="s">
        <v>276</v>
      </c>
      <c r="F7" s="2" t="s">
        <v>277</v>
      </c>
      <c r="G7" s="2" t="s">
        <v>278</v>
      </c>
      <c r="H7" s="2" t="s">
        <v>279</v>
      </c>
      <c r="I7" s="2" t="s">
        <v>29</v>
      </c>
      <c r="K7" s="6" t="s">
        <v>435</v>
      </c>
    </row>
    <row r="8" spans="1:12" x14ac:dyDescent="0.25">
      <c r="A8" s="5" t="s">
        <v>228</v>
      </c>
      <c r="B8" s="5" t="s">
        <v>18</v>
      </c>
      <c r="C8" s="2" t="s">
        <v>280</v>
      </c>
      <c r="D8" s="2" t="s">
        <v>281</v>
      </c>
      <c r="E8" s="2" t="s">
        <v>282</v>
      </c>
      <c r="F8" s="2" t="s">
        <v>283</v>
      </c>
      <c r="G8" s="2" t="s">
        <v>284</v>
      </c>
      <c r="H8" s="2" t="s">
        <v>285</v>
      </c>
      <c r="I8" s="2" t="s">
        <v>29</v>
      </c>
      <c r="K8" s="6" t="s">
        <v>434</v>
      </c>
    </row>
    <row r="9" spans="1:12" x14ac:dyDescent="0.25">
      <c r="A9" s="5" t="s">
        <v>228</v>
      </c>
      <c r="B9" s="5" t="s">
        <v>20</v>
      </c>
      <c r="C9" s="2" t="s">
        <v>286</v>
      </c>
      <c r="D9" s="2" t="s">
        <v>287</v>
      </c>
      <c r="E9" s="2" t="s">
        <v>288</v>
      </c>
      <c r="F9" s="2" t="s">
        <v>289</v>
      </c>
      <c r="G9" s="2" t="s">
        <v>290</v>
      </c>
      <c r="H9" s="2" t="s">
        <v>29</v>
      </c>
      <c r="K9" s="6" t="s">
        <v>10</v>
      </c>
    </row>
    <row r="10" spans="1:12" x14ac:dyDescent="0.25">
      <c r="A10" s="5" t="s">
        <v>228</v>
      </c>
      <c r="B10" s="5" t="s">
        <v>22</v>
      </c>
      <c r="C10" s="2" t="s">
        <v>291</v>
      </c>
      <c r="D10" s="2" t="s">
        <v>292</v>
      </c>
      <c r="E10" s="2" t="s">
        <v>293</v>
      </c>
      <c r="F10" s="2" t="s">
        <v>294</v>
      </c>
      <c r="G10" s="2" t="s">
        <v>295</v>
      </c>
      <c r="H10" s="2" t="s">
        <v>29</v>
      </c>
      <c r="K10" s="6" t="s">
        <v>436</v>
      </c>
    </row>
    <row r="11" spans="1:12" x14ac:dyDescent="0.25">
      <c r="A11" s="5" t="s">
        <v>228</v>
      </c>
      <c r="B11" s="5" t="s">
        <v>23</v>
      </c>
      <c r="C11" s="2" t="s">
        <v>296</v>
      </c>
      <c r="D11" s="2" t="s">
        <v>297</v>
      </c>
      <c r="E11" s="2" t="s">
        <v>298</v>
      </c>
      <c r="F11" s="2" t="s">
        <v>299</v>
      </c>
      <c r="G11" s="2" t="s">
        <v>300</v>
      </c>
      <c r="H11" s="2" t="s">
        <v>266</v>
      </c>
      <c r="I11" s="2" t="s">
        <v>29</v>
      </c>
      <c r="K11" s="6" t="s">
        <v>437</v>
      </c>
    </row>
    <row r="12" spans="1:12" x14ac:dyDescent="0.25">
      <c r="A12" s="5" t="s">
        <v>228</v>
      </c>
      <c r="B12" s="5" t="s">
        <v>24</v>
      </c>
      <c r="C12" s="2" t="s">
        <v>301</v>
      </c>
      <c r="D12" s="2" t="s">
        <v>302</v>
      </c>
      <c r="E12" s="2" t="s">
        <v>303</v>
      </c>
      <c r="F12" s="2" t="s">
        <v>304</v>
      </c>
      <c r="G12" s="2" t="s">
        <v>305</v>
      </c>
      <c r="H12" s="2" t="s">
        <v>29</v>
      </c>
      <c r="K12" s="6" t="s">
        <v>19</v>
      </c>
    </row>
    <row r="13" spans="1:12" x14ac:dyDescent="0.25">
      <c r="A13" s="5" t="s">
        <v>228</v>
      </c>
      <c r="B13" s="5" t="s">
        <v>25</v>
      </c>
      <c r="C13" s="2" t="s">
        <v>306</v>
      </c>
      <c r="D13" s="2" t="s">
        <v>307</v>
      </c>
      <c r="E13" s="2" t="s">
        <v>308</v>
      </c>
      <c r="F13" s="2" t="s">
        <v>309</v>
      </c>
      <c r="G13" s="2" t="s">
        <v>310</v>
      </c>
      <c r="H13" s="2" t="s">
        <v>311</v>
      </c>
      <c r="I13" s="2" t="s">
        <v>29</v>
      </c>
      <c r="K13" s="6" t="s">
        <v>21</v>
      </c>
    </row>
    <row r="14" spans="1:12" x14ac:dyDescent="0.25">
      <c r="A14" s="5" t="s">
        <v>228</v>
      </c>
      <c r="B14" s="5" t="s">
        <v>26</v>
      </c>
      <c r="C14" s="2" t="s">
        <v>312</v>
      </c>
      <c r="D14" s="2" t="s">
        <v>302</v>
      </c>
      <c r="E14" s="2" t="s">
        <v>303</v>
      </c>
      <c r="F14" s="2" t="s">
        <v>304</v>
      </c>
      <c r="G14" s="2" t="s">
        <v>305</v>
      </c>
      <c r="H14" s="2" t="s">
        <v>29</v>
      </c>
      <c r="K14" s="6" t="s">
        <v>12</v>
      </c>
    </row>
    <row r="15" spans="1:12" x14ac:dyDescent="0.25">
      <c r="A15" s="5" t="s">
        <v>228</v>
      </c>
      <c r="B15" s="5" t="s">
        <v>27</v>
      </c>
      <c r="C15" s="2" t="s">
        <v>313</v>
      </c>
      <c r="D15" s="2" t="s">
        <v>314</v>
      </c>
      <c r="E15" s="2" t="s">
        <v>315</v>
      </c>
      <c r="F15" s="2" t="s">
        <v>316</v>
      </c>
      <c r="G15" s="2" t="s">
        <v>317</v>
      </c>
      <c r="H15" s="2" t="s">
        <v>318</v>
      </c>
      <c r="I15" s="2" t="s">
        <v>319</v>
      </c>
      <c r="J15" s="2" t="s">
        <v>29</v>
      </c>
      <c r="K15" s="6" t="s">
        <v>438</v>
      </c>
    </row>
    <row r="16" spans="1:12" x14ac:dyDescent="0.25">
      <c r="A16" s="5" t="s">
        <v>229</v>
      </c>
      <c r="B16" s="5" t="s">
        <v>9</v>
      </c>
      <c r="C16" s="2" t="s">
        <v>320</v>
      </c>
      <c r="D16" s="2" t="s">
        <v>321</v>
      </c>
      <c r="E16" s="2" t="s">
        <v>322</v>
      </c>
      <c r="F16" s="2" t="s">
        <v>323</v>
      </c>
      <c r="G16" s="2" t="s">
        <v>324</v>
      </c>
      <c r="H16" s="2" t="s">
        <v>325</v>
      </c>
      <c r="I16" s="2" t="s">
        <v>29</v>
      </c>
      <c r="K16" s="6" t="s">
        <v>436</v>
      </c>
      <c r="L16" s="2" t="s">
        <v>439</v>
      </c>
    </row>
    <row r="17" spans="1:12" x14ac:dyDescent="0.25">
      <c r="A17" s="5" t="s">
        <v>229</v>
      </c>
      <c r="B17" s="5" t="s">
        <v>11</v>
      </c>
      <c r="C17" s="2" t="s">
        <v>326</v>
      </c>
      <c r="D17" s="2" t="s">
        <v>327</v>
      </c>
      <c r="E17" s="2" t="s">
        <v>328</v>
      </c>
      <c r="F17" s="2" t="s">
        <v>329</v>
      </c>
      <c r="G17" s="2" t="s">
        <v>330</v>
      </c>
      <c r="H17" s="2" t="s">
        <v>29</v>
      </c>
      <c r="K17" s="6" t="s">
        <v>19</v>
      </c>
      <c r="L17" s="2" t="s">
        <v>440</v>
      </c>
    </row>
    <row r="18" spans="1:12" x14ac:dyDescent="0.25">
      <c r="A18" s="5" t="s">
        <v>229</v>
      </c>
      <c r="B18" s="5" t="s">
        <v>13</v>
      </c>
      <c r="C18" s="2" t="s">
        <v>331</v>
      </c>
      <c r="D18" s="2" t="s">
        <v>332</v>
      </c>
      <c r="E18" s="2" t="s">
        <v>333</v>
      </c>
      <c r="F18" s="2" t="s">
        <v>334</v>
      </c>
      <c r="G18" s="2" t="s">
        <v>335</v>
      </c>
      <c r="H18" s="2" t="s">
        <v>29</v>
      </c>
      <c r="K18" s="6" t="s">
        <v>12</v>
      </c>
      <c r="L18" s="2" t="s">
        <v>441</v>
      </c>
    </row>
    <row r="19" spans="1:12" x14ac:dyDescent="0.25">
      <c r="A19" s="5" t="s">
        <v>229</v>
      </c>
      <c r="B19" s="5" t="s">
        <v>14</v>
      </c>
      <c r="C19" s="2" t="s">
        <v>336</v>
      </c>
      <c r="D19" s="2" t="s">
        <v>337</v>
      </c>
      <c r="E19" s="2" t="s">
        <v>338</v>
      </c>
      <c r="F19" s="2" t="s">
        <v>339</v>
      </c>
      <c r="G19" s="2" t="s">
        <v>456</v>
      </c>
      <c r="H19" s="2" t="s">
        <v>340</v>
      </c>
      <c r="I19" s="2" t="s">
        <v>29</v>
      </c>
      <c r="K19" s="6" t="s">
        <v>442</v>
      </c>
      <c r="L19" s="2" t="s">
        <v>443</v>
      </c>
    </row>
    <row r="20" spans="1:12" ht="16.5" x14ac:dyDescent="0.25">
      <c r="A20" s="5" t="s">
        <v>229</v>
      </c>
      <c r="B20" s="5" t="s">
        <v>15</v>
      </c>
      <c r="C20" s="2" t="s">
        <v>341</v>
      </c>
      <c r="D20" s="2" t="s">
        <v>342</v>
      </c>
      <c r="E20" s="2" t="s">
        <v>343</v>
      </c>
      <c r="F20" s="2" t="s">
        <v>344</v>
      </c>
      <c r="G20" s="2" t="s">
        <v>345</v>
      </c>
      <c r="H20" s="2" t="s">
        <v>29</v>
      </c>
      <c r="K20" s="6" t="s">
        <v>16</v>
      </c>
      <c r="L20" s="2" t="s">
        <v>444</v>
      </c>
    </row>
    <row r="21" spans="1:12" x14ac:dyDescent="0.25">
      <c r="A21" s="5" t="s">
        <v>229</v>
      </c>
      <c r="B21" s="5" t="s">
        <v>17</v>
      </c>
      <c r="C21" s="2" t="s">
        <v>346</v>
      </c>
      <c r="D21" s="2" t="s">
        <v>347</v>
      </c>
      <c r="E21" s="2" t="s">
        <v>348</v>
      </c>
      <c r="F21" s="2" t="s">
        <v>349</v>
      </c>
      <c r="G21" s="2" t="s">
        <v>350</v>
      </c>
      <c r="H21" s="2" t="s">
        <v>29</v>
      </c>
      <c r="K21" s="6" t="s">
        <v>435</v>
      </c>
      <c r="L21" s="2" t="s">
        <v>457</v>
      </c>
    </row>
    <row r="22" spans="1:12" x14ac:dyDescent="0.25">
      <c r="A22" s="5" t="s">
        <v>229</v>
      </c>
      <c r="B22" s="5" t="s">
        <v>18</v>
      </c>
      <c r="C22" s="2" t="s">
        <v>351</v>
      </c>
      <c r="D22" s="2" t="s">
        <v>352</v>
      </c>
      <c r="E22" s="2" t="s">
        <v>353</v>
      </c>
      <c r="F22" s="2" t="s">
        <v>354</v>
      </c>
      <c r="G22" s="2" t="s">
        <v>355</v>
      </c>
      <c r="H22" s="2" t="s">
        <v>356</v>
      </c>
      <c r="I22" s="2" t="s">
        <v>357</v>
      </c>
      <c r="J22" s="2" t="s">
        <v>29</v>
      </c>
      <c r="K22" s="6" t="s">
        <v>447</v>
      </c>
      <c r="L22" s="2" t="s">
        <v>448</v>
      </c>
    </row>
    <row r="23" spans="1:12" x14ac:dyDescent="0.25">
      <c r="A23" s="5" t="s">
        <v>229</v>
      </c>
      <c r="B23" s="5" t="s">
        <v>20</v>
      </c>
      <c r="C23" s="2" t="s">
        <v>358</v>
      </c>
      <c r="D23" s="2" t="s">
        <v>359</v>
      </c>
      <c r="E23" s="2" t="s">
        <v>360</v>
      </c>
      <c r="F23" s="2" t="s">
        <v>361</v>
      </c>
      <c r="G23" s="2" t="s">
        <v>322</v>
      </c>
      <c r="H23" s="2" t="s">
        <v>29</v>
      </c>
      <c r="K23" s="6" t="s">
        <v>10</v>
      </c>
      <c r="L23" s="2" t="s">
        <v>449</v>
      </c>
    </row>
    <row r="24" spans="1:12" x14ac:dyDescent="0.25">
      <c r="A24" s="5" t="s">
        <v>229</v>
      </c>
      <c r="B24" s="5" t="s">
        <v>22</v>
      </c>
      <c r="C24" s="2" t="s">
        <v>362</v>
      </c>
      <c r="D24" s="2" t="s">
        <v>363</v>
      </c>
      <c r="E24" s="2" t="s">
        <v>364</v>
      </c>
      <c r="F24" s="2" t="s">
        <v>365</v>
      </c>
      <c r="G24" s="2" t="s">
        <v>366</v>
      </c>
      <c r="H24" s="2" t="s">
        <v>367</v>
      </c>
      <c r="I24" s="2" t="s">
        <v>29</v>
      </c>
      <c r="K24" s="6" t="s">
        <v>450</v>
      </c>
      <c r="L24" s="2" t="s">
        <v>451</v>
      </c>
    </row>
    <row r="25" spans="1:12" x14ac:dyDescent="0.25">
      <c r="A25" s="5" t="s">
        <v>230</v>
      </c>
      <c r="B25" s="5" t="s">
        <v>9</v>
      </c>
      <c r="C25" s="2" t="s">
        <v>368</v>
      </c>
      <c r="D25" s="2" t="s">
        <v>369</v>
      </c>
      <c r="E25" s="2" t="s">
        <v>370</v>
      </c>
      <c r="F25" s="2" t="s">
        <v>371</v>
      </c>
      <c r="G25" s="2" t="s">
        <v>372</v>
      </c>
      <c r="H25" s="2" t="s">
        <v>29</v>
      </c>
      <c r="K25" s="6" t="s">
        <v>19</v>
      </c>
    </row>
    <row r="26" spans="1:12" x14ac:dyDescent="0.25">
      <c r="A26" s="5" t="s">
        <v>230</v>
      </c>
      <c r="B26" s="5" t="s">
        <v>11</v>
      </c>
      <c r="C26" s="2" t="s">
        <v>373</v>
      </c>
      <c r="D26" s="2" t="s">
        <v>374</v>
      </c>
      <c r="E26" s="2" t="s">
        <v>375</v>
      </c>
      <c r="F26" s="2" t="s">
        <v>376</v>
      </c>
      <c r="G26" s="2" t="s">
        <v>29</v>
      </c>
      <c r="K26" s="6" t="s">
        <v>10</v>
      </c>
    </row>
    <row r="27" spans="1:12" x14ac:dyDescent="0.25">
      <c r="A27" s="5" t="s">
        <v>230</v>
      </c>
      <c r="B27" s="5" t="s">
        <v>13</v>
      </c>
      <c r="C27" s="2" t="s">
        <v>377</v>
      </c>
      <c r="D27" s="2" t="s">
        <v>378</v>
      </c>
      <c r="E27" s="2" t="s">
        <v>379</v>
      </c>
      <c r="F27" s="2" t="s">
        <v>380</v>
      </c>
      <c r="G27" s="2" t="s">
        <v>381</v>
      </c>
      <c r="H27" s="2" t="s">
        <v>382</v>
      </c>
      <c r="I27" s="2" t="s">
        <v>29</v>
      </c>
      <c r="K27" s="6" t="s">
        <v>452</v>
      </c>
    </row>
    <row r="28" spans="1:12" x14ac:dyDescent="0.25">
      <c r="A28" s="5" t="s">
        <v>230</v>
      </c>
      <c r="B28" s="5" t="s">
        <v>14</v>
      </c>
      <c r="C28" s="2" t="s">
        <v>383</v>
      </c>
      <c r="D28" s="2" t="s">
        <v>384</v>
      </c>
      <c r="E28" s="2" t="s">
        <v>385</v>
      </c>
      <c r="F28" s="2" t="s">
        <v>386</v>
      </c>
      <c r="G28" s="2" t="s">
        <v>387</v>
      </c>
      <c r="H28" s="2" t="s">
        <v>388</v>
      </c>
      <c r="I28" s="2" t="s">
        <v>29</v>
      </c>
      <c r="K28" s="6" t="s">
        <v>16</v>
      </c>
    </row>
    <row r="29" spans="1:12" x14ac:dyDescent="0.25">
      <c r="A29" s="5" t="s">
        <v>230</v>
      </c>
      <c r="B29" s="5" t="s">
        <v>15</v>
      </c>
      <c r="C29" s="2" t="s">
        <v>389</v>
      </c>
      <c r="D29" s="2" t="s">
        <v>390</v>
      </c>
      <c r="E29" s="2" t="s">
        <v>391</v>
      </c>
      <c r="F29" s="2" t="s">
        <v>392</v>
      </c>
      <c r="G29" s="2" t="s">
        <v>393</v>
      </c>
      <c r="H29" s="2" t="s">
        <v>394</v>
      </c>
      <c r="I29" s="2" t="s">
        <v>395</v>
      </c>
      <c r="J29" s="2" t="s">
        <v>29</v>
      </c>
      <c r="K29" s="6" t="s">
        <v>453</v>
      </c>
    </row>
    <row r="30" spans="1:12" x14ac:dyDescent="0.25">
      <c r="A30" s="5" t="s">
        <v>230</v>
      </c>
      <c r="B30" s="5" t="s">
        <v>17</v>
      </c>
      <c r="C30" s="2" t="s">
        <v>396</v>
      </c>
      <c r="D30" s="2" t="s">
        <v>397</v>
      </c>
      <c r="E30" s="2" t="s">
        <v>398</v>
      </c>
      <c r="F30" s="2" t="s">
        <v>399</v>
      </c>
      <c r="G30" s="2" t="s">
        <v>400</v>
      </c>
      <c r="H30" s="2" t="s">
        <v>29</v>
      </c>
      <c r="K30" s="6" t="s">
        <v>12</v>
      </c>
    </row>
    <row r="31" spans="1:12" x14ac:dyDescent="0.25">
      <c r="A31" s="5" t="s">
        <v>39</v>
      </c>
      <c r="B31" s="5" t="s">
        <v>9</v>
      </c>
      <c r="C31" s="2" t="s">
        <v>401</v>
      </c>
      <c r="D31" s="2" t="s">
        <v>402</v>
      </c>
      <c r="E31" s="2" t="s">
        <v>403</v>
      </c>
      <c r="F31" s="2" t="s">
        <v>404</v>
      </c>
      <c r="G31" s="2" t="s">
        <v>405</v>
      </c>
      <c r="H31" s="2" t="s">
        <v>29</v>
      </c>
      <c r="K31" s="6" t="s">
        <v>454</v>
      </c>
    </row>
    <row r="32" spans="1:12" x14ac:dyDescent="0.25">
      <c r="A32" s="5" t="s">
        <v>39</v>
      </c>
      <c r="B32" s="5" t="s">
        <v>11</v>
      </c>
      <c r="C32" s="2" t="s">
        <v>406</v>
      </c>
      <c r="D32" s="2" t="s">
        <v>407</v>
      </c>
      <c r="E32" s="2" t="s">
        <v>408</v>
      </c>
      <c r="F32" s="2" t="s">
        <v>409</v>
      </c>
      <c r="G32" s="2" t="s">
        <v>410</v>
      </c>
      <c r="H32" s="2" t="s">
        <v>29</v>
      </c>
      <c r="K32" s="6" t="s">
        <v>16</v>
      </c>
    </row>
    <row r="33" spans="1:11" x14ac:dyDescent="0.25">
      <c r="A33" s="5" t="s">
        <v>39</v>
      </c>
      <c r="B33" s="5" t="s">
        <v>13</v>
      </c>
      <c r="C33" s="2" t="s">
        <v>411</v>
      </c>
      <c r="D33" s="2" t="s">
        <v>412</v>
      </c>
      <c r="E33" s="2" t="s">
        <v>413</v>
      </c>
      <c r="F33" s="2" t="s">
        <v>414</v>
      </c>
      <c r="G33" s="2" t="s">
        <v>415</v>
      </c>
      <c r="H33" s="2" t="s">
        <v>29</v>
      </c>
      <c r="K33" s="6" t="s">
        <v>10</v>
      </c>
    </row>
    <row r="34" spans="1:11" x14ac:dyDescent="0.25">
      <c r="A34" s="5" t="s">
        <v>39</v>
      </c>
      <c r="B34" s="5" t="s">
        <v>14</v>
      </c>
      <c r="C34" s="2" t="s">
        <v>416</v>
      </c>
      <c r="D34" s="2" t="s">
        <v>417</v>
      </c>
      <c r="E34" s="2" t="s">
        <v>418</v>
      </c>
      <c r="F34" s="2" t="s">
        <v>419</v>
      </c>
      <c r="G34" s="2" t="s">
        <v>29</v>
      </c>
      <c r="K34" s="6" t="s">
        <v>455</v>
      </c>
    </row>
    <row r="35" spans="1:11" x14ac:dyDescent="0.25">
      <c r="A35" s="5" t="s">
        <v>39</v>
      </c>
      <c r="B35" s="5" t="s">
        <v>15</v>
      </c>
      <c r="C35" s="2" t="s">
        <v>420</v>
      </c>
      <c r="D35" s="2" t="s">
        <v>421</v>
      </c>
      <c r="E35" s="2" t="s">
        <v>422</v>
      </c>
      <c r="F35" s="2" t="s">
        <v>423</v>
      </c>
      <c r="G35" s="2" t="s">
        <v>424</v>
      </c>
      <c r="H35" s="2" t="s">
        <v>29</v>
      </c>
      <c r="K35" s="6" t="s">
        <v>21</v>
      </c>
    </row>
    <row r="36" spans="1:11" x14ac:dyDescent="0.25">
      <c r="A36" s="5" t="s">
        <v>39</v>
      </c>
      <c r="B36" s="5" t="s">
        <v>17</v>
      </c>
      <c r="C36" s="2" t="s">
        <v>425</v>
      </c>
      <c r="D36" s="2" t="s">
        <v>426</v>
      </c>
      <c r="E36" s="2" t="s">
        <v>427</v>
      </c>
      <c r="F36" s="2" t="s">
        <v>412</v>
      </c>
      <c r="G36" s="2" t="s">
        <v>428</v>
      </c>
      <c r="H36" s="2" t="s">
        <v>29</v>
      </c>
      <c r="K36" s="6" t="s">
        <v>21</v>
      </c>
    </row>
    <row r="37" spans="1:11" x14ac:dyDescent="0.25">
      <c r="A37" s="5" t="s">
        <v>39</v>
      </c>
      <c r="B37" s="5" t="s">
        <v>18</v>
      </c>
      <c r="C37" s="2" t="s">
        <v>429</v>
      </c>
      <c r="D37" s="2" t="s">
        <v>414</v>
      </c>
      <c r="E37" s="2" t="s">
        <v>430</v>
      </c>
      <c r="F37" s="2" t="s">
        <v>431</v>
      </c>
      <c r="G37" s="2" t="s">
        <v>432</v>
      </c>
      <c r="H37" s="2" t="s">
        <v>29</v>
      </c>
      <c r="K37" s="6" t="s">
        <v>12</v>
      </c>
    </row>
    <row r="38" spans="1:11" x14ac:dyDescent="0.25">
      <c r="A38" s="5" t="s">
        <v>234</v>
      </c>
      <c r="B38" s="5" t="s">
        <v>9</v>
      </c>
      <c r="C38" s="2" t="s">
        <v>682</v>
      </c>
      <c r="D38" s="2" t="s">
        <v>683</v>
      </c>
      <c r="E38" s="2" t="s">
        <v>684</v>
      </c>
      <c r="F38" s="2" t="s">
        <v>685</v>
      </c>
      <c r="G38" s="2" t="s">
        <v>686</v>
      </c>
      <c r="H38" s="2" t="s">
        <v>687</v>
      </c>
      <c r="I38" s="2" t="s">
        <v>29</v>
      </c>
      <c r="K38" s="6" t="s">
        <v>442</v>
      </c>
    </row>
    <row r="39" spans="1:11" x14ac:dyDescent="0.25">
      <c r="A39" s="5" t="s">
        <v>234</v>
      </c>
      <c r="B39" s="5" t="s">
        <v>11</v>
      </c>
      <c r="C39" s="2" t="s">
        <v>688</v>
      </c>
      <c r="D39" s="2" t="s">
        <v>689</v>
      </c>
      <c r="E39" s="2" t="s">
        <v>690</v>
      </c>
      <c r="F39" s="2" t="s">
        <v>691</v>
      </c>
      <c r="G39" s="2" t="s">
        <v>692</v>
      </c>
      <c r="H39" s="2" t="s">
        <v>29</v>
      </c>
      <c r="K39" s="6" t="s">
        <v>10</v>
      </c>
    </row>
    <row r="40" spans="1:11" x14ac:dyDescent="0.25">
      <c r="A40" s="5" t="s">
        <v>234</v>
      </c>
      <c r="B40" s="5" t="s">
        <v>13</v>
      </c>
      <c r="C40" s="2" t="s">
        <v>693</v>
      </c>
      <c r="D40" s="2" t="s">
        <v>694</v>
      </c>
      <c r="E40" s="2" t="s">
        <v>695</v>
      </c>
      <c r="F40" s="2" t="s">
        <v>696</v>
      </c>
      <c r="G40" s="2" t="s">
        <v>697</v>
      </c>
      <c r="H40" s="2" t="s">
        <v>698</v>
      </c>
      <c r="I40" s="2" t="s">
        <v>29</v>
      </c>
      <c r="K40" s="6" t="s">
        <v>19</v>
      </c>
    </row>
    <row r="41" spans="1:11" x14ac:dyDescent="0.25">
      <c r="A41" s="5" t="s">
        <v>234</v>
      </c>
      <c r="B41" s="5" t="s">
        <v>14</v>
      </c>
      <c r="C41" s="2" t="s">
        <v>699</v>
      </c>
      <c r="D41" s="2" t="s">
        <v>700</v>
      </c>
      <c r="E41" s="2" t="s">
        <v>701</v>
      </c>
      <c r="F41" s="2" t="s">
        <v>702</v>
      </c>
      <c r="G41" s="2" t="s">
        <v>703</v>
      </c>
      <c r="H41" s="2" t="s">
        <v>29</v>
      </c>
      <c r="K41" s="6" t="s">
        <v>16</v>
      </c>
    </row>
    <row r="42" spans="1:11" x14ac:dyDescent="0.25">
      <c r="A42" s="5" t="s">
        <v>234</v>
      </c>
      <c r="B42" s="5" t="s">
        <v>15</v>
      </c>
      <c r="C42" s="2" t="s">
        <v>704</v>
      </c>
      <c r="D42" s="2" t="s">
        <v>705</v>
      </c>
      <c r="E42" s="2" t="s">
        <v>706</v>
      </c>
      <c r="F42" s="2" t="s">
        <v>707</v>
      </c>
      <c r="G42" s="2" t="s">
        <v>708</v>
      </c>
      <c r="H42" s="2" t="s">
        <v>29</v>
      </c>
      <c r="K42" s="6" t="s">
        <v>435</v>
      </c>
    </row>
    <row r="43" spans="1:11" x14ac:dyDescent="0.25">
      <c r="A43" s="5" t="s">
        <v>234</v>
      </c>
      <c r="B43" s="5" t="s">
        <v>17</v>
      </c>
      <c r="C43" s="2" t="s">
        <v>709</v>
      </c>
      <c r="D43" s="2" t="s">
        <v>710</v>
      </c>
      <c r="E43" s="2" t="s">
        <v>711</v>
      </c>
      <c r="F43" s="2" t="s">
        <v>712</v>
      </c>
      <c r="G43" s="2" t="s">
        <v>713</v>
      </c>
      <c r="H43" s="2" t="s">
        <v>714</v>
      </c>
      <c r="I43" s="2" t="s">
        <v>29</v>
      </c>
      <c r="K43" s="6" t="s">
        <v>434</v>
      </c>
    </row>
    <row r="44" spans="1:11" x14ac:dyDescent="0.25">
      <c r="A44" s="5" t="s">
        <v>234</v>
      </c>
      <c r="B44" s="5" t="s">
        <v>18</v>
      </c>
      <c r="C44" s="2" t="s">
        <v>715</v>
      </c>
      <c r="D44" s="2" t="s">
        <v>716</v>
      </c>
      <c r="E44" s="2" t="s">
        <v>717</v>
      </c>
      <c r="F44" s="2" t="s">
        <v>718</v>
      </c>
      <c r="G44" s="2" t="s">
        <v>719</v>
      </c>
      <c r="H44" s="2" t="s">
        <v>29</v>
      </c>
      <c r="K44" s="6" t="s">
        <v>16</v>
      </c>
    </row>
    <row r="45" spans="1:11" x14ac:dyDescent="0.25">
      <c r="A45" s="5" t="s">
        <v>234</v>
      </c>
      <c r="B45" s="5" t="s">
        <v>20</v>
      </c>
      <c r="C45" s="2" t="s">
        <v>720</v>
      </c>
      <c r="D45" s="2" t="s">
        <v>721</v>
      </c>
      <c r="E45" s="2" t="s">
        <v>722</v>
      </c>
      <c r="F45" s="2" t="s">
        <v>723</v>
      </c>
      <c r="G45" s="2" t="s">
        <v>724</v>
      </c>
      <c r="H45" s="2" t="s">
        <v>29</v>
      </c>
      <c r="K45" s="6" t="s">
        <v>454</v>
      </c>
    </row>
    <row r="46" spans="1:11" x14ac:dyDescent="0.25">
      <c r="A46" s="5" t="s">
        <v>234</v>
      </c>
      <c r="B46" s="5" t="s">
        <v>22</v>
      </c>
      <c r="C46" s="2" t="s">
        <v>725</v>
      </c>
      <c r="D46" s="2" t="s">
        <v>726</v>
      </c>
      <c r="E46" s="2" t="s">
        <v>727</v>
      </c>
      <c r="F46" s="2" t="s">
        <v>728</v>
      </c>
      <c r="G46" s="2" t="s">
        <v>729</v>
      </c>
      <c r="H46" s="2" t="s">
        <v>710</v>
      </c>
      <c r="I46" s="2" t="s">
        <v>730</v>
      </c>
      <c r="J46" s="2" t="s">
        <v>29</v>
      </c>
      <c r="K46" s="6" t="s">
        <v>956</v>
      </c>
    </row>
    <row r="47" spans="1:11" x14ac:dyDescent="0.25">
      <c r="A47" s="5" t="s">
        <v>234</v>
      </c>
      <c r="B47" s="5" t="s">
        <v>23</v>
      </c>
      <c r="C47" s="2" t="s">
        <v>731</v>
      </c>
      <c r="D47" s="2" t="s">
        <v>732</v>
      </c>
      <c r="E47" s="2" t="s">
        <v>733</v>
      </c>
      <c r="F47" s="2" t="s">
        <v>734</v>
      </c>
      <c r="G47" s="2" t="s">
        <v>735</v>
      </c>
      <c r="H47" s="2" t="s">
        <v>736</v>
      </c>
      <c r="I47" s="2" t="s">
        <v>29</v>
      </c>
      <c r="K47" s="6" t="s">
        <v>435</v>
      </c>
    </row>
    <row r="48" spans="1:11" x14ac:dyDescent="0.25">
      <c r="A48" s="5" t="s">
        <v>234</v>
      </c>
      <c r="B48" s="5" t="s">
        <v>24</v>
      </c>
      <c r="C48" s="2" t="s">
        <v>737</v>
      </c>
      <c r="D48" s="2" t="s">
        <v>738</v>
      </c>
      <c r="E48" s="2" t="s">
        <v>739</v>
      </c>
      <c r="F48" s="2" t="s">
        <v>740</v>
      </c>
      <c r="G48" s="2" t="s">
        <v>741</v>
      </c>
      <c r="H48" s="2" t="s">
        <v>742</v>
      </c>
      <c r="I48" s="2" t="s">
        <v>29</v>
      </c>
      <c r="K48" s="6" t="s">
        <v>10</v>
      </c>
    </row>
    <row r="49" spans="1:11" x14ac:dyDescent="0.25">
      <c r="A49" s="5" t="s">
        <v>234</v>
      </c>
      <c r="B49" s="5" t="s">
        <v>25</v>
      </c>
      <c r="C49" s="2" t="s">
        <v>743</v>
      </c>
      <c r="D49" s="2" t="s">
        <v>738</v>
      </c>
      <c r="E49" s="2" t="s">
        <v>739</v>
      </c>
      <c r="F49" s="2" t="s">
        <v>740</v>
      </c>
      <c r="G49" s="2" t="s">
        <v>741</v>
      </c>
      <c r="H49" s="2" t="s">
        <v>742</v>
      </c>
      <c r="I49" s="2" t="s">
        <v>29</v>
      </c>
      <c r="K49" s="6" t="s">
        <v>12</v>
      </c>
    </row>
    <row r="50" spans="1:11" x14ac:dyDescent="0.25">
      <c r="A50" s="5" t="s">
        <v>234</v>
      </c>
      <c r="B50" s="5" t="s">
        <v>26</v>
      </c>
      <c r="C50" s="2" t="s">
        <v>744</v>
      </c>
      <c r="D50" s="2" t="s">
        <v>738</v>
      </c>
      <c r="E50" s="2" t="s">
        <v>739</v>
      </c>
      <c r="F50" s="2" t="s">
        <v>740</v>
      </c>
      <c r="G50" s="2" t="s">
        <v>741</v>
      </c>
      <c r="H50" s="2" t="s">
        <v>742</v>
      </c>
      <c r="I50" s="2" t="s">
        <v>29</v>
      </c>
      <c r="K50" s="6" t="s">
        <v>19</v>
      </c>
    </row>
    <row r="51" spans="1:11" x14ac:dyDescent="0.25">
      <c r="A51" s="5" t="s">
        <v>234</v>
      </c>
      <c r="B51" s="5" t="s">
        <v>27</v>
      </c>
      <c r="C51" s="2" t="s">
        <v>745</v>
      </c>
      <c r="D51" s="2" t="s">
        <v>746</v>
      </c>
      <c r="E51" s="2" t="s">
        <v>747</v>
      </c>
      <c r="F51" s="2" t="s">
        <v>748</v>
      </c>
      <c r="G51" s="2" t="s">
        <v>749</v>
      </c>
      <c r="H51" s="2" t="s">
        <v>29</v>
      </c>
      <c r="K51" s="6" t="s">
        <v>957</v>
      </c>
    </row>
    <row r="52" spans="1:11" x14ac:dyDescent="0.25">
      <c r="A52" s="5" t="s">
        <v>235</v>
      </c>
      <c r="B52" s="5" t="s">
        <v>9</v>
      </c>
      <c r="C52" s="2" t="s">
        <v>750</v>
      </c>
      <c r="D52" s="2" t="s">
        <v>751</v>
      </c>
      <c r="E52" s="2" t="s">
        <v>752</v>
      </c>
      <c r="F52" s="2" t="s">
        <v>687</v>
      </c>
      <c r="G52" s="2" t="s">
        <v>753</v>
      </c>
      <c r="H52" s="2" t="s">
        <v>29</v>
      </c>
      <c r="K52" s="6" t="s">
        <v>446</v>
      </c>
    </row>
    <row r="53" spans="1:11" x14ac:dyDescent="0.25">
      <c r="A53" s="5" t="s">
        <v>235</v>
      </c>
      <c r="B53" s="5" t="s">
        <v>11</v>
      </c>
      <c r="C53" s="2" t="s">
        <v>754</v>
      </c>
      <c r="D53" s="2" t="s">
        <v>755</v>
      </c>
      <c r="E53" s="2" t="s">
        <v>756</v>
      </c>
      <c r="F53" s="2" t="s">
        <v>757</v>
      </c>
      <c r="G53" s="2" t="s">
        <v>758</v>
      </c>
      <c r="H53" s="2" t="s">
        <v>29</v>
      </c>
      <c r="K53" s="6" t="s">
        <v>16</v>
      </c>
    </row>
    <row r="54" spans="1:11" x14ac:dyDescent="0.25">
      <c r="A54" s="5" t="s">
        <v>235</v>
      </c>
      <c r="B54" s="5" t="s">
        <v>13</v>
      </c>
      <c r="C54" s="2" t="s">
        <v>759</v>
      </c>
      <c r="D54" s="2" t="s">
        <v>755</v>
      </c>
      <c r="E54" s="2" t="s">
        <v>756</v>
      </c>
      <c r="F54" s="2" t="s">
        <v>760</v>
      </c>
      <c r="G54" s="2" t="s">
        <v>761</v>
      </c>
      <c r="H54" s="2" t="s">
        <v>29</v>
      </c>
      <c r="K54" s="6" t="s">
        <v>12</v>
      </c>
    </row>
    <row r="55" spans="1:11" x14ac:dyDescent="0.25">
      <c r="A55" s="5" t="s">
        <v>235</v>
      </c>
      <c r="B55" s="5" t="s">
        <v>14</v>
      </c>
      <c r="C55" s="2" t="s">
        <v>762</v>
      </c>
      <c r="D55" s="2" t="s">
        <v>755</v>
      </c>
      <c r="E55" s="2" t="s">
        <v>756</v>
      </c>
      <c r="F55" s="2" t="s">
        <v>760</v>
      </c>
      <c r="G55" s="2" t="s">
        <v>761</v>
      </c>
      <c r="H55" s="2" t="s">
        <v>29</v>
      </c>
      <c r="K55" s="6" t="s">
        <v>19</v>
      </c>
    </row>
    <row r="56" spans="1:11" x14ac:dyDescent="0.25">
      <c r="A56" s="5" t="s">
        <v>235</v>
      </c>
      <c r="B56" s="5" t="s">
        <v>15</v>
      </c>
      <c r="C56" s="2" t="s">
        <v>763</v>
      </c>
      <c r="D56" s="2" t="s">
        <v>764</v>
      </c>
      <c r="E56" s="2" t="s">
        <v>765</v>
      </c>
      <c r="F56" s="2" t="s">
        <v>766</v>
      </c>
      <c r="G56" s="2" t="s">
        <v>767</v>
      </c>
      <c r="H56" s="2" t="s">
        <v>768</v>
      </c>
      <c r="I56" s="2" t="s">
        <v>29</v>
      </c>
      <c r="K56" s="6" t="s">
        <v>958</v>
      </c>
    </row>
    <row r="57" spans="1:11" x14ac:dyDescent="0.25">
      <c r="A57" s="5" t="s">
        <v>235</v>
      </c>
      <c r="B57" s="5" t="s">
        <v>17</v>
      </c>
      <c r="C57" s="2" t="s">
        <v>769</v>
      </c>
      <c r="D57" s="2" t="s">
        <v>770</v>
      </c>
      <c r="E57" s="2" t="s">
        <v>771</v>
      </c>
      <c r="F57" s="2" t="s">
        <v>772</v>
      </c>
      <c r="G57" s="2" t="s">
        <v>773</v>
      </c>
      <c r="H57" s="2" t="s">
        <v>774</v>
      </c>
      <c r="I57" s="2" t="s">
        <v>29</v>
      </c>
      <c r="K57" s="6" t="s">
        <v>959</v>
      </c>
    </row>
    <row r="58" spans="1:11" x14ac:dyDescent="0.25">
      <c r="A58" s="5" t="s">
        <v>235</v>
      </c>
      <c r="B58" s="5" t="s">
        <v>18</v>
      </c>
      <c r="C58" s="2" t="s">
        <v>775</v>
      </c>
      <c r="D58" s="2" t="s">
        <v>776</v>
      </c>
      <c r="E58" s="2" t="s">
        <v>777</v>
      </c>
      <c r="F58" s="2" t="s">
        <v>778</v>
      </c>
      <c r="G58" s="2" t="s">
        <v>779</v>
      </c>
      <c r="H58" s="2" t="s">
        <v>29</v>
      </c>
      <c r="K58" s="6" t="s">
        <v>19</v>
      </c>
    </row>
    <row r="59" spans="1:11" x14ac:dyDescent="0.25">
      <c r="A59" s="5" t="s">
        <v>235</v>
      </c>
      <c r="B59" s="5" t="s">
        <v>20</v>
      </c>
      <c r="C59" s="2" t="s">
        <v>780</v>
      </c>
      <c r="D59" s="2" t="s">
        <v>781</v>
      </c>
      <c r="E59" s="2" t="s">
        <v>782</v>
      </c>
      <c r="F59" s="2" t="s">
        <v>783</v>
      </c>
      <c r="G59" s="2" t="s">
        <v>784</v>
      </c>
      <c r="H59" s="2" t="s">
        <v>785</v>
      </c>
      <c r="I59" s="2" t="s">
        <v>786</v>
      </c>
      <c r="J59" s="2" t="s">
        <v>29</v>
      </c>
      <c r="K59" s="6" t="s">
        <v>960</v>
      </c>
    </row>
    <row r="60" spans="1:11" x14ac:dyDescent="0.25">
      <c r="A60" s="5" t="s">
        <v>235</v>
      </c>
      <c r="B60" s="5" t="s">
        <v>22</v>
      </c>
      <c r="C60" s="2" t="s">
        <v>787</v>
      </c>
      <c r="D60" s="2" t="s">
        <v>788</v>
      </c>
      <c r="E60" s="2" t="s">
        <v>789</v>
      </c>
      <c r="F60" s="2" t="s">
        <v>790</v>
      </c>
      <c r="G60" s="2" t="s">
        <v>791</v>
      </c>
      <c r="H60" s="2" t="s">
        <v>792</v>
      </c>
      <c r="I60" s="2" t="s">
        <v>29</v>
      </c>
      <c r="K60" s="6" t="s">
        <v>19</v>
      </c>
    </row>
    <row r="61" spans="1:11" x14ac:dyDescent="0.25">
      <c r="A61" s="5" t="s">
        <v>235</v>
      </c>
      <c r="B61" s="5" t="s">
        <v>23</v>
      </c>
      <c r="C61" s="2" t="s">
        <v>793</v>
      </c>
      <c r="D61" s="2" t="s">
        <v>794</v>
      </c>
      <c r="E61" s="2" t="s">
        <v>795</v>
      </c>
      <c r="F61" s="2" t="s">
        <v>796</v>
      </c>
      <c r="G61" s="2" t="s">
        <v>797</v>
      </c>
      <c r="H61" s="2" t="s">
        <v>798</v>
      </c>
      <c r="I61" s="2" t="s">
        <v>29</v>
      </c>
      <c r="K61" s="6" t="s">
        <v>12</v>
      </c>
    </row>
    <row r="62" spans="1:11" x14ac:dyDescent="0.25">
      <c r="A62" s="5" t="s">
        <v>235</v>
      </c>
      <c r="B62" s="5" t="s">
        <v>24</v>
      </c>
      <c r="C62" s="2" t="s">
        <v>799</v>
      </c>
      <c r="D62" s="2" t="s">
        <v>800</v>
      </c>
      <c r="E62" s="2" t="s">
        <v>801</v>
      </c>
      <c r="F62" s="2" t="s">
        <v>802</v>
      </c>
      <c r="G62" s="2" t="s">
        <v>803</v>
      </c>
      <c r="H62" s="2" t="s">
        <v>804</v>
      </c>
      <c r="I62" s="2" t="s">
        <v>29</v>
      </c>
      <c r="K62" s="6" t="s">
        <v>21</v>
      </c>
    </row>
    <row r="63" spans="1:11" x14ac:dyDescent="0.25">
      <c r="A63" s="5" t="s">
        <v>235</v>
      </c>
      <c r="B63" s="5" t="s">
        <v>25</v>
      </c>
      <c r="C63" s="2" t="s">
        <v>805</v>
      </c>
      <c r="D63" s="2" t="s">
        <v>806</v>
      </c>
      <c r="E63" s="2" t="s">
        <v>807</v>
      </c>
      <c r="F63" s="2" t="s">
        <v>808</v>
      </c>
      <c r="G63" s="2" t="s">
        <v>809</v>
      </c>
      <c r="H63" s="2" t="s">
        <v>29</v>
      </c>
      <c r="K63" s="6" t="s">
        <v>19</v>
      </c>
    </row>
    <row r="64" spans="1:11" x14ac:dyDescent="0.25">
      <c r="A64" s="5" t="s">
        <v>236</v>
      </c>
      <c r="B64" s="5" t="s">
        <v>9</v>
      </c>
      <c r="C64" s="2" t="s">
        <v>810</v>
      </c>
      <c r="D64" s="2" t="s">
        <v>811</v>
      </c>
      <c r="E64" s="2" t="s">
        <v>812</v>
      </c>
      <c r="F64" s="2" t="s">
        <v>813</v>
      </c>
      <c r="G64" s="2" t="s">
        <v>814</v>
      </c>
      <c r="H64" s="2" t="s">
        <v>815</v>
      </c>
      <c r="I64" s="2" t="s">
        <v>29</v>
      </c>
      <c r="K64" s="6" t="s">
        <v>19</v>
      </c>
    </row>
    <row r="65" spans="1:12" x14ac:dyDescent="0.25">
      <c r="A65" s="5" t="s">
        <v>236</v>
      </c>
      <c r="B65" s="5" t="s">
        <v>11</v>
      </c>
      <c r="C65" s="2" t="s">
        <v>816</v>
      </c>
      <c r="D65" s="2" t="s">
        <v>817</v>
      </c>
      <c r="E65" s="2" t="s">
        <v>818</v>
      </c>
      <c r="F65" s="2" t="s">
        <v>819</v>
      </c>
      <c r="G65" s="2" t="s">
        <v>820</v>
      </c>
      <c r="H65" s="2" t="s">
        <v>821</v>
      </c>
      <c r="I65" s="2" t="s">
        <v>29</v>
      </c>
      <c r="K65" s="6" t="s">
        <v>10</v>
      </c>
    </row>
    <row r="66" spans="1:12" x14ac:dyDescent="0.25">
      <c r="A66" s="5" t="s">
        <v>236</v>
      </c>
      <c r="B66" s="5" t="s">
        <v>13</v>
      </c>
      <c r="C66" s="2" t="s">
        <v>822</v>
      </c>
      <c r="D66" s="2" t="s">
        <v>823</v>
      </c>
      <c r="E66" s="2" t="s">
        <v>824</v>
      </c>
      <c r="F66" s="2" t="s">
        <v>825</v>
      </c>
      <c r="G66" s="2" t="s">
        <v>826</v>
      </c>
      <c r="H66" s="2" t="s">
        <v>29</v>
      </c>
      <c r="K66" s="6" t="s">
        <v>10</v>
      </c>
    </row>
    <row r="67" spans="1:12" x14ac:dyDescent="0.25">
      <c r="A67" s="5" t="s">
        <v>236</v>
      </c>
      <c r="B67" s="5" t="s">
        <v>14</v>
      </c>
      <c r="C67" s="2" t="s">
        <v>827</v>
      </c>
      <c r="D67" s="2" t="s">
        <v>828</v>
      </c>
      <c r="E67" s="2" t="s">
        <v>829</v>
      </c>
      <c r="F67" s="2" t="s">
        <v>830</v>
      </c>
      <c r="G67" s="2" t="s">
        <v>831</v>
      </c>
      <c r="H67" s="2" t="s">
        <v>29</v>
      </c>
      <c r="K67" s="6" t="s">
        <v>446</v>
      </c>
    </row>
    <row r="68" spans="1:12" x14ac:dyDescent="0.25">
      <c r="A68" s="5" t="s">
        <v>236</v>
      </c>
      <c r="B68" s="5" t="s">
        <v>15</v>
      </c>
      <c r="C68" s="2" t="s">
        <v>832</v>
      </c>
      <c r="D68" s="2" t="s">
        <v>833</v>
      </c>
      <c r="E68" s="2" t="s">
        <v>834</v>
      </c>
      <c r="F68" s="2" t="s">
        <v>835</v>
      </c>
      <c r="G68" s="2" t="s">
        <v>836</v>
      </c>
      <c r="H68" s="2" t="s">
        <v>29</v>
      </c>
      <c r="K68" s="6" t="s">
        <v>19</v>
      </c>
    </row>
    <row r="69" spans="1:12" x14ac:dyDescent="0.25">
      <c r="A69" s="5" t="s">
        <v>236</v>
      </c>
      <c r="B69" s="5" t="s">
        <v>17</v>
      </c>
      <c r="C69" s="2" t="s">
        <v>837</v>
      </c>
      <c r="D69" s="2" t="s">
        <v>838</v>
      </c>
      <c r="E69" s="2" t="s">
        <v>839</v>
      </c>
      <c r="F69" s="2" t="s">
        <v>840</v>
      </c>
      <c r="G69" s="2" t="s">
        <v>841</v>
      </c>
      <c r="H69" s="2" t="s">
        <v>842</v>
      </c>
      <c r="I69" s="2" t="s">
        <v>29</v>
      </c>
      <c r="K69" s="16" t="s">
        <v>442</v>
      </c>
      <c r="L69" s="2" t="s">
        <v>1149</v>
      </c>
    </row>
    <row r="70" spans="1:12" x14ac:dyDescent="0.25">
      <c r="A70" s="5" t="s">
        <v>236</v>
      </c>
      <c r="B70" s="5" t="s">
        <v>18</v>
      </c>
      <c r="C70" s="2" t="s">
        <v>843</v>
      </c>
      <c r="D70" s="2" t="s">
        <v>844</v>
      </c>
      <c r="E70" s="2" t="s">
        <v>845</v>
      </c>
      <c r="F70" s="2" t="s">
        <v>846</v>
      </c>
      <c r="G70" s="2" t="s">
        <v>847</v>
      </c>
      <c r="H70" s="2" t="s">
        <v>29</v>
      </c>
      <c r="K70" s="6" t="s">
        <v>19</v>
      </c>
    </row>
    <row r="71" spans="1:12" x14ac:dyDescent="0.25">
      <c r="A71" s="5" t="s">
        <v>236</v>
      </c>
      <c r="B71" s="5" t="s">
        <v>20</v>
      </c>
      <c r="C71" s="2" t="s">
        <v>848</v>
      </c>
      <c r="D71" s="2" t="s">
        <v>849</v>
      </c>
      <c r="E71" s="2" t="s">
        <v>850</v>
      </c>
      <c r="F71" s="2" t="s">
        <v>851</v>
      </c>
      <c r="G71" s="2" t="s">
        <v>852</v>
      </c>
      <c r="H71" s="2" t="s">
        <v>29</v>
      </c>
      <c r="K71" s="6" t="s">
        <v>10</v>
      </c>
    </row>
    <row r="72" spans="1:12" x14ac:dyDescent="0.25">
      <c r="A72" s="5" t="s">
        <v>236</v>
      </c>
      <c r="B72" s="5" t="s">
        <v>22</v>
      </c>
      <c r="C72" s="2" t="s">
        <v>853</v>
      </c>
      <c r="D72" s="2" t="s">
        <v>854</v>
      </c>
      <c r="E72" s="2" t="s">
        <v>855</v>
      </c>
      <c r="F72" s="2" t="s">
        <v>856</v>
      </c>
      <c r="G72" s="2" t="s">
        <v>857</v>
      </c>
      <c r="H72" s="2" t="s">
        <v>29</v>
      </c>
      <c r="K72" s="6" t="s">
        <v>19</v>
      </c>
    </row>
    <row r="73" spans="1:12" x14ac:dyDescent="0.25">
      <c r="A73" s="5" t="s">
        <v>236</v>
      </c>
      <c r="B73" s="5" t="s">
        <v>23</v>
      </c>
      <c r="C73" s="2" t="s">
        <v>858</v>
      </c>
      <c r="D73" s="2" t="s">
        <v>859</v>
      </c>
      <c r="E73" s="2" t="s">
        <v>722</v>
      </c>
      <c r="F73" s="2" t="s">
        <v>723</v>
      </c>
      <c r="G73" s="2" t="s">
        <v>860</v>
      </c>
      <c r="H73" s="2" t="s">
        <v>29</v>
      </c>
      <c r="K73" s="6" t="s">
        <v>16</v>
      </c>
    </row>
    <row r="74" spans="1:12" x14ac:dyDescent="0.25">
      <c r="A74" s="5" t="s">
        <v>236</v>
      </c>
      <c r="B74" s="5" t="s">
        <v>24</v>
      </c>
      <c r="C74" s="2" t="s">
        <v>861</v>
      </c>
      <c r="D74" s="2" t="s">
        <v>862</v>
      </c>
      <c r="E74" s="2" t="s">
        <v>863</v>
      </c>
      <c r="F74" s="2" t="s">
        <v>864</v>
      </c>
      <c r="G74" s="2" t="s">
        <v>865</v>
      </c>
      <c r="H74" s="2" t="s">
        <v>29</v>
      </c>
      <c r="K74" s="6" t="s">
        <v>16</v>
      </c>
    </row>
    <row r="75" spans="1:12" x14ac:dyDescent="0.25">
      <c r="A75" s="5" t="s">
        <v>236</v>
      </c>
      <c r="B75" s="5" t="s">
        <v>25</v>
      </c>
      <c r="C75" s="2" t="s">
        <v>866</v>
      </c>
      <c r="D75" s="2" t="s">
        <v>867</v>
      </c>
      <c r="E75" s="2" t="s">
        <v>778</v>
      </c>
      <c r="F75" s="2" t="s">
        <v>868</v>
      </c>
      <c r="G75" s="2" t="s">
        <v>869</v>
      </c>
      <c r="H75" s="2" t="s">
        <v>29</v>
      </c>
      <c r="K75" s="6" t="s">
        <v>16</v>
      </c>
    </row>
    <row r="76" spans="1:12" x14ac:dyDescent="0.25">
      <c r="A76" s="5" t="s">
        <v>236</v>
      </c>
      <c r="B76" s="5" t="s">
        <v>26</v>
      </c>
      <c r="C76" s="2" t="s">
        <v>870</v>
      </c>
      <c r="D76" s="2" t="s">
        <v>871</v>
      </c>
      <c r="E76" s="2" t="s">
        <v>872</v>
      </c>
      <c r="F76" s="2" t="s">
        <v>873</v>
      </c>
      <c r="G76" s="2" t="s">
        <v>874</v>
      </c>
      <c r="H76" s="2" t="s">
        <v>29</v>
      </c>
      <c r="K76" s="16" t="s">
        <v>16</v>
      </c>
      <c r="L76" s="2" t="s">
        <v>1150</v>
      </c>
    </row>
    <row r="77" spans="1:12" x14ac:dyDescent="0.25">
      <c r="A77" s="5" t="s">
        <v>236</v>
      </c>
      <c r="B77" s="5" t="s">
        <v>27</v>
      </c>
      <c r="C77" s="2" t="s">
        <v>875</v>
      </c>
      <c r="D77" s="2" t="s">
        <v>876</v>
      </c>
      <c r="E77" s="2" t="s">
        <v>877</v>
      </c>
      <c r="F77" s="2" t="s">
        <v>878</v>
      </c>
      <c r="G77" s="2" t="s">
        <v>879</v>
      </c>
      <c r="H77" s="2" t="s">
        <v>29</v>
      </c>
      <c r="K77" s="6" t="s">
        <v>16</v>
      </c>
    </row>
    <row r="78" spans="1:12" x14ac:dyDescent="0.25">
      <c r="A78" s="5" t="s">
        <v>236</v>
      </c>
      <c r="B78" s="5" t="s">
        <v>954</v>
      </c>
      <c r="C78" s="2" t="s">
        <v>880</v>
      </c>
      <c r="D78" s="2" t="s">
        <v>881</v>
      </c>
      <c r="E78" s="2" t="s">
        <v>882</v>
      </c>
      <c r="F78" s="2" t="s">
        <v>883</v>
      </c>
      <c r="G78" s="2" t="s">
        <v>884</v>
      </c>
      <c r="H78" s="2" t="s">
        <v>885</v>
      </c>
      <c r="I78" s="2" t="s">
        <v>29</v>
      </c>
      <c r="K78" s="16" t="s">
        <v>961</v>
      </c>
      <c r="L78" s="2" t="s">
        <v>1151</v>
      </c>
    </row>
    <row r="79" spans="1:12" x14ac:dyDescent="0.25">
      <c r="A79" s="5" t="s">
        <v>236</v>
      </c>
      <c r="B79" s="5" t="s">
        <v>955</v>
      </c>
      <c r="C79" s="2" t="s">
        <v>886</v>
      </c>
      <c r="D79" s="2" t="s">
        <v>887</v>
      </c>
      <c r="E79" s="2" t="s">
        <v>888</v>
      </c>
      <c r="F79" s="2" t="s">
        <v>889</v>
      </c>
      <c r="G79" s="2" t="s">
        <v>890</v>
      </c>
      <c r="H79" s="2" t="s">
        <v>29</v>
      </c>
      <c r="K79" s="6" t="s">
        <v>19</v>
      </c>
    </row>
    <row r="80" spans="1:12" x14ac:dyDescent="0.25">
      <c r="A80" s="5" t="s">
        <v>41</v>
      </c>
      <c r="B80" s="5" t="s">
        <v>9</v>
      </c>
      <c r="C80" s="2" t="s">
        <v>891</v>
      </c>
      <c r="D80" s="2" t="s">
        <v>892</v>
      </c>
      <c r="E80" s="2" t="s">
        <v>893</v>
      </c>
      <c r="F80" s="2" t="s">
        <v>894</v>
      </c>
      <c r="G80" s="2" t="s">
        <v>895</v>
      </c>
      <c r="H80" s="2" t="s">
        <v>896</v>
      </c>
      <c r="I80" s="2" t="s">
        <v>897</v>
      </c>
      <c r="J80" s="2" t="s">
        <v>29</v>
      </c>
      <c r="K80" s="6" t="s">
        <v>16</v>
      </c>
    </row>
    <row r="81" spans="1:12" x14ac:dyDescent="0.25">
      <c r="A81" s="5" t="s">
        <v>41</v>
      </c>
      <c r="B81" s="5" t="s">
        <v>11</v>
      </c>
      <c r="C81" s="2" t="s">
        <v>880</v>
      </c>
      <c r="D81" s="2" t="s">
        <v>881</v>
      </c>
      <c r="E81" s="2" t="s">
        <v>882</v>
      </c>
      <c r="F81" s="2" t="s">
        <v>883</v>
      </c>
      <c r="G81" s="2" t="s">
        <v>884</v>
      </c>
      <c r="H81" s="2" t="s">
        <v>885</v>
      </c>
      <c r="I81" s="2" t="s">
        <v>29</v>
      </c>
      <c r="K81" s="16" t="s">
        <v>961</v>
      </c>
      <c r="L81" s="2" t="s">
        <v>1151</v>
      </c>
    </row>
    <row r="82" spans="1:12" x14ac:dyDescent="0.25">
      <c r="A82" s="5" t="s">
        <v>41</v>
      </c>
      <c r="B82" s="5" t="s">
        <v>13</v>
      </c>
      <c r="C82" s="2" t="s">
        <v>898</v>
      </c>
      <c r="D82" s="2" t="s">
        <v>899</v>
      </c>
      <c r="E82" s="2" t="s">
        <v>900</v>
      </c>
      <c r="F82" s="2" t="s">
        <v>901</v>
      </c>
      <c r="G82" s="2" t="s">
        <v>902</v>
      </c>
      <c r="H82" s="2" t="s">
        <v>29</v>
      </c>
      <c r="K82" s="6" t="s">
        <v>21</v>
      </c>
    </row>
    <row r="83" spans="1:12" x14ac:dyDescent="0.25">
      <c r="A83" s="5" t="s">
        <v>41</v>
      </c>
      <c r="B83" s="5" t="s">
        <v>14</v>
      </c>
      <c r="C83" s="2" t="s">
        <v>903</v>
      </c>
      <c r="D83" s="2" t="s">
        <v>904</v>
      </c>
      <c r="E83" s="2" t="s">
        <v>849</v>
      </c>
      <c r="F83" s="2" t="s">
        <v>850</v>
      </c>
      <c r="G83" s="2" t="s">
        <v>905</v>
      </c>
      <c r="H83" s="2" t="s">
        <v>29</v>
      </c>
      <c r="K83" s="6" t="s">
        <v>19</v>
      </c>
    </row>
    <row r="84" spans="1:12" x14ac:dyDescent="0.25">
      <c r="A84" s="5" t="s">
        <v>41</v>
      </c>
      <c r="B84" s="5" t="s">
        <v>15</v>
      </c>
      <c r="C84" s="2" t="s">
        <v>906</v>
      </c>
      <c r="D84" s="2" t="s">
        <v>907</v>
      </c>
      <c r="E84" s="2" t="s">
        <v>908</v>
      </c>
      <c r="F84" s="2" t="s">
        <v>909</v>
      </c>
      <c r="G84" s="2" t="s">
        <v>910</v>
      </c>
      <c r="H84" s="2" t="s">
        <v>911</v>
      </c>
      <c r="I84" s="2" t="s">
        <v>29</v>
      </c>
      <c r="K84" s="6" t="s">
        <v>10</v>
      </c>
    </row>
    <row r="85" spans="1:12" x14ac:dyDescent="0.25">
      <c r="A85" s="5" t="s">
        <v>41</v>
      </c>
      <c r="B85" s="5" t="s">
        <v>17</v>
      </c>
      <c r="C85" s="2" t="s">
        <v>912</v>
      </c>
      <c r="D85" s="2" t="s">
        <v>913</v>
      </c>
      <c r="E85" s="2" t="s">
        <v>914</v>
      </c>
      <c r="F85" s="2" t="s">
        <v>915</v>
      </c>
      <c r="G85" s="2" t="s">
        <v>839</v>
      </c>
      <c r="H85" s="2" t="s">
        <v>916</v>
      </c>
      <c r="I85" s="2" t="s">
        <v>29</v>
      </c>
      <c r="K85" s="6" t="s">
        <v>446</v>
      </c>
    </row>
    <row r="86" spans="1:12" x14ac:dyDescent="0.25">
      <c r="A86" s="5" t="s">
        <v>41</v>
      </c>
      <c r="B86" s="5" t="s">
        <v>18</v>
      </c>
      <c r="C86" s="2" t="s">
        <v>917</v>
      </c>
      <c r="D86" s="2" t="s">
        <v>918</v>
      </c>
      <c r="E86" s="2" t="s">
        <v>919</v>
      </c>
      <c r="F86" s="2" t="s">
        <v>920</v>
      </c>
      <c r="G86" s="2" t="s">
        <v>921</v>
      </c>
      <c r="H86" s="2" t="s">
        <v>922</v>
      </c>
      <c r="I86" s="2" t="s">
        <v>29</v>
      </c>
      <c r="K86" s="6" t="s">
        <v>16</v>
      </c>
    </row>
    <row r="87" spans="1:12" x14ac:dyDescent="0.25">
      <c r="A87" s="5" t="s">
        <v>41</v>
      </c>
      <c r="B87" s="5" t="s">
        <v>20</v>
      </c>
      <c r="C87" s="2" t="s">
        <v>923</v>
      </c>
      <c r="D87" s="2" t="s">
        <v>764</v>
      </c>
      <c r="E87" s="2" t="s">
        <v>924</v>
      </c>
      <c r="F87" s="2" t="s">
        <v>925</v>
      </c>
      <c r="G87" s="2" t="s">
        <v>926</v>
      </c>
      <c r="H87" s="2" t="s">
        <v>927</v>
      </c>
      <c r="I87" s="2" t="s">
        <v>29</v>
      </c>
      <c r="K87" s="6" t="s">
        <v>21</v>
      </c>
    </row>
    <row r="88" spans="1:12" x14ac:dyDescent="0.25">
      <c r="A88" s="5" t="s">
        <v>41</v>
      </c>
      <c r="B88" s="5" t="s">
        <v>22</v>
      </c>
      <c r="C88" s="2" t="s">
        <v>928</v>
      </c>
      <c r="D88" s="2" t="s">
        <v>929</v>
      </c>
      <c r="E88" s="2" t="s">
        <v>930</v>
      </c>
      <c r="F88" s="2" t="s">
        <v>931</v>
      </c>
      <c r="G88" s="2" t="s">
        <v>932</v>
      </c>
      <c r="H88" s="2" t="s">
        <v>29</v>
      </c>
      <c r="K88" s="6" t="s">
        <v>16</v>
      </c>
    </row>
    <row r="89" spans="1:12" x14ac:dyDescent="0.25">
      <c r="A89" s="5" t="s">
        <v>41</v>
      </c>
      <c r="B89" s="5" t="s">
        <v>23</v>
      </c>
      <c r="C89" s="2" t="s">
        <v>933</v>
      </c>
      <c r="D89" s="2" t="s">
        <v>934</v>
      </c>
      <c r="E89" s="2" t="s">
        <v>935</v>
      </c>
      <c r="F89" s="2" t="s">
        <v>936</v>
      </c>
      <c r="G89" s="2" t="s">
        <v>937</v>
      </c>
      <c r="H89" s="2" t="s">
        <v>29</v>
      </c>
      <c r="K89" s="6" t="s">
        <v>446</v>
      </c>
    </row>
    <row r="90" spans="1:12" x14ac:dyDescent="0.25">
      <c r="A90" s="5" t="s">
        <v>41</v>
      </c>
      <c r="B90" s="5" t="s">
        <v>24</v>
      </c>
      <c r="C90" s="2" t="s">
        <v>938</v>
      </c>
      <c r="D90" s="2" t="s">
        <v>939</v>
      </c>
      <c r="E90" s="2" t="s">
        <v>940</v>
      </c>
      <c r="F90" s="2" t="s">
        <v>941</v>
      </c>
      <c r="G90" s="2" t="s">
        <v>942</v>
      </c>
      <c r="H90" s="2" t="s">
        <v>29</v>
      </c>
      <c r="K90" s="6" t="s">
        <v>12</v>
      </c>
    </row>
    <row r="91" spans="1:12" x14ac:dyDescent="0.25">
      <c r="A91" s="5" t="s">
        <v>41</v>
      </c>
      <c r="B91" s="5" t="s">
        <v>25</v>
      </c>
      <c r="C91" s="2" t="s">
        <v>943</v>
      </c>
      <c r="D91" s="2" t="s">
        <v>944</v>
      </c>
      <c r="E91" s="2" t="s">
        <v>945</v>
      </c>
      <c r="F91" s="2" t="s">
        <v>946</v>
      </c>
      <c r="G91" s="2" t="s">
        <v>947</v>
      </c>
      <c r="H91" s="2" t="s">
        <v>948</v>
      </c>
      <c r="I91" s="2" t="s">
        <v>29</v>
      </c>
      <c r="K91" s="6" t="s">
        <v>16</v>
      </c>
    </row>
    <row r="92" spans="1:12" x14ac:dyDescent="0.25">
      <c r="A92" s="5" t="s">
        <v>41</v>
      </c>
      <c r="B92" s="5" t="s">
        <v>26</v>
      </c>
      <c r="C92" s="2" t="s">
        <v>949</v>
      </c>
      <c r="D92" s="2" t="s">
        <v>950</v>
      </c>
      <c r="E92" s="2" t="s">
        <v>951</v>
      </c>
      <c r="F92" s="2" t="s">
        <v>952</v>
      </c>
      <c r="G92" s="2" t="s">
        <v>953</v>
      </c>
      <c r="H92" s="2" t="s">
        <v>29</v>
      </c>
      <c r="K92" s="6" t="s">
        <v>16</v>
      </c>
    </row>
    <row r="93" spans="1:12" x14ac:dyDescent="0.25">
      <c r="A93" s="5" t="s">
        <v>42</v>
      </c>
      <c r="B93" s="5" t="s">
        <v>9</v>
      </c>
      <c r="C93" s="2" t="s">
        <v>962</v>
      </c>
      <c r="D93" s="2" t="s">
        <v>963</v>
      </c>
      <c r="E93" s="2" t="s">
        <v>964</v>
      </c>
      <c r="F93" s="2" t="s">
        <v>965</v>
      </c>
      <c r="G93" s="2" t="s">
        <v>966</v>
      </c>
      <c r="H93" s="2" t="s">
        <v>29</v>
      </c>
      <c r="K93" s="6" t="s">
        <v>455</v>
      </c>
    </row>
    <row r="94" spans="1:12" x14ac:dyDescent="0.25">
      <c r="A94" s="5" t="s">
        <v>42</v>
      </c>
      <c r="B94" s="5" t="s">
        <v>11</v>
      </c>
      <c r="C94" s="2" t="s">
        <v>967</v>
      </c>
      <c r="D94" s="2" t="s">
        <v>968</v>
      </c>
      <c r="E94" s="2" t="s">
        <v>969</v>
      </c>
      <c r="F94" s="2" t="s">
        <v>970</v>
      </c>
      <c r="G94" s="2" t="s">
        <v>971</v>
      </c>
      <c r="H94" s="2" t="s">
        <v>29</v>
      </c>
      <c r="K94" s="6" t="s">
        <v>16</v>
      </c>
    </row>
    <row r="95" spans="1:12" x14ac:dyDescent="0.25">
      <c r="A95" s="5" t="s">
        <v>42</v>
      </c>
      <c r="B95" s="5" t="s">
        <v>13</v>
      </c>
      <c r="C95" s="2" t="s">
        <v>972</v>
      </c>
      <c r="D95" s="2" t="s">
        <v>973</v>
      </c>
      <c r="E95" s="2" t="s">
        <v>974</v>
      </c>
      <c r="F95" s="2" t="s">
        <v>975</v>
      </c>
      <c r="G95" s="2" t="s">
        <v>976</v>
      </c>
      <c r="H95" s="2" t="s">
        <v>29</v>
      </c>
      <c r="K95" s="6" t="s">
        <v>19</v>
      </c>
    </row>
    <row r="96" spans="1:12" x14ac:dyDescent="0.25">
      <c r="A96" s="5" t="s">
        <v>42</v>
      </c>
      <c r="B96" s="5" t="s">
        <v>14</v>
      </c>
      <c r="C96" s="2" t="s">
        <v>977</v>
      </c>
      <c r="D96" s="2" t="s">
        <v>978</v>
      </c>
      <c r="E96" s="2" t="s">
        <v>979</v>
      </c>
      <c r="F96" s="2" t="s">
        <v>980</v>
      </c>
      <c r="G96" s="2" t="s">
        <v>981</v>
      </c>
      <c r="H96" s="2" t="s">
        <v>29</v>
      </c>
      <c r="K96" s="6" t="s">
        <v>10</v>
      </c>
    </row>
    <row r="97" spans="1:11" x14ac:dyDescent="0.25">
      <c r="A97" s="5" t="s">
        <v>42</v>
      </c>
      <c r="B97" s="5" t="s">
        <v>15</v>
      </c>
      <c r="C97" s="2" t="s">
        <v>982</v>
      </c>
      <c r="D97" s="2" t="s">
        <v>839</v>
      </c>
      <c r="E97" s="2" t="s">
        <v>983</v>
      </c>
      <c r="F97" s="2" t="s">
        <v>984</v>
      </c>
      <c r="G97" s="2" t="s">
        <v>985</v>
      </c>
      <c r="H97" s="2" t="s">
        <v>29</v>
      </c>
      <c r="K97" s="6" t="s">
        <v>16</v>
      </c>
    </row>
    <row r="98" spans="1:11" x14ac:dyDescent="0.25">
      <c r="A98" s="5" t="s">
        <v>42</v>
      </c>
      <c r="B98" s="5" t="s">
        <v>17</v>
      </c>
      <c r="C98" s="2" t="s">
        <v>986</v>
      </c>
      <c r="D98" s="2" t="s">
        <v>987</v>
      </c>
      <c r="E98" s="2" t="s">
        <v>988</v>
      </c>
      <c r="F98" s="2" t="s">
        <v>989</v>
      </c>
      <c r="G98" s="2" t="s">
        <v>990</v>
      </c>
      <c r="H98" s="2" t="s">
        <v>991</v>
      </c>
      <c r="I98" s="2" t="s">
        <v>29</v>
      </c>
      <c r="K98" s="6" t="s">
        <v>436</v>
      </c>
    </row>
    <row r="99" spans="1:11" x14ac:dyDescent="0.25">
      <c r="A99" s="5" t="s">
        <v>42</v>
      </c>
      <c r="B99" s="5" t="s">
        <v>18</v>
      </c>
      <c r="C99" s="2" t="s">
        <v>992</v>
      </c>
      <c r="D99" s="2" t="s">
        <v>993</v>
      </c>
      <c r="E99" s="2" t="s">
        <v>994</v>
      </c>
      <c r="F99" s="2" t="s">
        <v>995</v>
      </c>
      <c r="G99" s="2" t="s">
        <v>996</v>
      </c>
      <c r="H99" s="2" t="s">
        <v>997</v>
      </c>
      <c r="I99" s="2" t="s">
        <v>29</v>
      </c>
      <c r="K99" s="6" t="s">
        <v>1152</v>
      </c>
    </row>
    <row r="100" spans="1:11" x14ac:dyDescent="0.25">
      <c r="A100" s="5" t="s">
        <v>42</v>
      </c>
      <c r="B100" s="5" t="s">
        <v>20</v>
      </c>
      <c r="C100" s="2" t="s">
        <v>998</v>
      </c>
      <c r="D100" s="2" t="s">
        <v>999</v>
      </c>
      <c r="E100" s="2" t="s">
        <v>1000</v>
      </c>
      <c r="F100" s="2" t="s">
        <v>1001</v>
      </c>
      <c r="G100" s="2" t="s">
        <v>1002</v>
      </c>
      <c r="H100" s="2" t="s">
        <v>29</v>
      </c>
      <c r="K100" s="6" t="s">
        <v>12</v>
      </c>
    </row>
    <row r="101" spans="1:11" x14ac:dyDescent="0.25">
      <c r="A101" s="5" t="s">
        <v>42</v>
      </c>
      <c r="B101" s="5" t="s">
        <v>22</v>
      </c>
      <c r="C101" s="2" t="s">
        <v>1003</v>
      </c>
      <c r="D101" s="2" t="s">
        <v>1004</v>
      </c>
      <c r="E101" s="2" t="s">
        <v>1005</v>
      </c>
      <c r="F101" s="2" t="s">
        <v>1006</v>
      </c>
      <c r="G101" s="2" t="s">
        <v>1007</v>
      </c>
      <c r="H101" s="2" t="s">
        <v>1008</v>
      </c>
      <c r="I101" s="2" t="s">
        <v>29</v>
      </c>
      <c r="K101" s="6" t="s">
        <v>16</v>
      </c>
    </row>
    <row r="102" spans="1:11" x14ac:dyDescent="0.25">
      <c r="A102" s="5" t="s">
        <v>42</v>
      </c>
      <c r="B102" s="5" t="s">
        <v>23</v>
      </c>
      <c r="C102" s="2" t="s">
        <v>1009</v>
      </c>
      <c r="D102" s="2" t="s">
        <v>999</v>
      </c>
      <c r="E102" s="2" t="s">
        <v>1000</v>
      </c>
      <c r="F102" s="2" t="s">
        <v>1010</v>
      </c>
      <c r="G102" s="2" t="s">
        <v>29</v>
      </c>
      <c r="K102" s="6" t="s">
        <v>16</v>
      </c>
    </row>
    <row r="103" spans="1:11" x14ac:dyDescent="0.25">
      <c r="A103" s="5" t="s">
        <v>42</v>
      </c>
      <c r="B103" s="5" t="s">
        <v>24</v>
      </c>
      <c r="C103" s="2" t="s">
        <v>1011</v>
      </c>
      <c r="D103" s="2" t="s">
        <v>1012</v>
      </c>
      <c r="E103" s="2" t="s">
        <v>1013</v>
      </c>
      <c r="F103" s="2" t="s">
        <v>1014</v>
      </c>
      <c r="G103" s="2" t="s">
        <v>1015</v>
      </c>
      <c r="H103" s="2" t="s">
        <v>29</v>
      </c>
      <c r="K103" s="6" t="s">
        <v>16</v>
      </c>
    </row>
    <row r="104" spans="1:11" x14ac:dyDescent="0.25">
      <c r="A104" s="5" t="s">
        <v>42</v>
      </c>
      <c r="B104" s="5" t="s">
        <v>25</v>
      </c>
      <c r="C104" s="2" t="s">
        <v>1016</v>
      </c>
      <c r="D104" s="2" t="s">
        <v>1017</v>
      </c>
      <c r="E104" s="2" t="s">
        <v>1018</v>
      </c>
      <c r="F104" s="2" t="s">
        <v>1019</v>
      </c>
      <c r="G104" s="2" t="s">
        <v>963</v>
      </c>
      <c r="H104" s="2" t="s">
        <v>1020</v>
      </c>
      <c r="I104" s="2" t="s">
        <v>1021</v>
      </c>
      <c r="J104" s="2" t="s">
        <v>29</v>
      </c>
      <c r="K104" s="6" t="s">
        <v>1153</v>
      </c>
    </row>
    <row r="105" spans="1:11" x14ac:dyDescent="0.25">
      <c r="A105" s="5" t="s">
        <v>42</v>
      </c>
      <c r="B105" s="5" t="s">
        <v>26</v>
      </c>
      <c r="C105" s="2" t="s">
        <v>1022</v>
      </c>
      <c r="D105" s="2" t="s">
        <v>1023</v>
      </c>
      <c r="E105" s="2" t="s">
        <v>1024</v>
      </c>
      <c r="F105" s="2" t="s">
        <v>1025</v>
      </c>
      <c r="G105" s="2" t="s">
        <v>1026</v>
      </c>
      <c r="H105" s="2" t="s">
        <v>29</v>
      </c>
      <c r="K105" s="6" t="s">
        <v>19</v>
      </c>
    </row>
    <row r="106" spans="1:11" x14ac:dyDescent="0.25">
      <c r="A106" s="5" t="s">
        <v>42</v>
      </c>
      <c r="B106" s="5" t="s">
        <v>27</v>
      </c>
      <c r="C106" s="2" t="s">
        <v>1027</v>
      </c>
      <c r="D106" s="2" t="s">
        <v>1028</v>
      </c>
      <c r="E106" s="2" t="s">
        <v>1029</v>
      </c>
      <c r="F106" s="2" t="s">
        <v>1030</v>
      </c>
      <c r="G106" s="2" t="s">
        <v>1031</v>
      </c>
      <c r="H106" s="2" t="s">
        <v>1032</v>
      </c>
      <c r="I106" s="2" t="s">
        <v>29</v>
      </c>
      <c r="K106" s="6" t="s">
        <v>442</v>
      </c>
    </row>
    <row r="107" spans="1:11" x14ac:dyDescent="0.25">
      <c r="A107" s="5" t="s">
        <v>42</v>
      </c>
      <c r="B107" s="5" t="s">
        <v>954</v>
      </c>
      <c r="C107" s="2" t="s">
        <v>1033</v>
      </c>
      <c r="D107" s="2" t="s">
        <v>1034</v>
      </c>
      <c r="E107" s="2" t="s">
        <v>1035</v>
      </c>
      <c r="F107" s="2" t="s">
        <v>1036</v>
      </c>
      <c r="G107" s="2" t="s">
        <v>1037</v>
      </c>
      <c r="H107" s="2" t="s">
        <v>29</v>
      </c>
      <c r="K107" s="6" t="s">
        <v>16</v>
      </c>
    </row>
    <row r="108" spans="1:11" x14ac:dyDescent="0.25">
      <c r="A108" s="5" t="s">
        <v>42</v>
      </c>
      <c r="B108" s="5" t="s">
        <v>955</v>
      </c>
      <c r="C108" s="2" t="s">
        <v>1038</v>
      </c>
      <c r="D108" s="2" t="s">
        <v>1039</v>
      </c>
      <c r="E108" s="2" t="s">
        <v>1040</v>
      </c>
      <c r="F108" s="2" t="s">
        <v>1041</v>
      </c>
      <c r="G108" s="2" t="s">
        <v>1042</v>
      </c>
      <c r="H108" s="2" t="s">
        <v>29</v>
      </c>
      <c r="K108" s="6" t="s">
        <v>437</v>
      </c>
    </row>
    <row r="109" spans="1:11" x14ac:dyDescent="0.25">
      <c r="A109" s="5" t="s">
        <v>40</v>
      </c>
      <c r="B109" s="5" t="s">
        <v>9</v>
      </c>
      <c r="C109" s="2" t="s">
        <v>1043</v>
      </c>
      <c r="D109" s="2" t="s">
        <v>1044</v>
      </c>
      <c r="E109" s="2" t="s">
        <v>1045</v>
      </c>
      <c r="F109" s="2" t="s">
        <v>1046</v>
      </c>
      <c r="G109" s="2" t="s">
        <v>1047</v>
      </c>
      <c r="H109" s="2" t="s">
        <v>1048</v>
      </c>
      <c r="I109" s="2" t="s">
        <v>29</v>
      </c>
      <c r="K109" s="6" t="s">
        <v>12</v>
      </c>
    </row>
    <row r="110" spans="1:11" x14ac:dyDescent="0.25">
      <c r="A110" s="5" t="s">
        <v>40</v>
      </c>
      <c r="B110" s="5" t="s">
        <v>11</v>
      </c>
      <c r="C110" s="2" t="s">
        <v>1049</v>
      </c>
      <c r="D110" s="2" t="s">
        <v>1050</v>
      </c>
      <c r="E110" s="2" t="s">
        <v>1051</v>
      </c>
      <c r="F110" s="2" t="s">
        <v>1052</v>
      </c>
      <c r="G110" s="2" t="s">
        <v>789</v>
      </c>
      <c r="H110" s="2" t="s">
        <v>29</v>
      </c>
      <c r="K110" s="6" t="s">
        <v>19</v>
      </c>
    </row>
    <row r="111" spans="1:11" x14ac:dyDescent="0.25">
      <c r="A111" s="5" t="s">
        <v>40</v>
      </c>
      <c r="B111" s="5" t="s">
        <v>13</v>
      </c>
      <c r="C111" s="2" t="s">
        <v>1053</v>
      </c>
      <c r="D111" s="2" t="s">
        <v>1054</v>
      </c>
      <c r="E111" s="2" t="s">
        <v>1055</v>
      </c>
      <c r="F111" s="2" t="s">
        <v>1056</v>
      </c>
      <c r="G111" s="2" t="s">
        <v>1057</v>
      </c>
      <c r="H111" s="2" t="s">
        <v>1058</v>
      </c>
      <c r="I111" s="2" t="s">
        <v>29</v>
      </c>
      <c r="K111" s="6" t="s">
        <v>453</v>
      </c>
    </row>
    <row r="112" spans="1:11" x14ac:dyDescent="0.25">
      <c r="A112" s="5" t="s">
        <v>40</v>
      </c>
      <c r="B112" s="5" t="s">
        <v>14</v>
      </c>
      <c r="C112" s="2" t="s">
        <v>1059</v>
      </c>
      <c r="D112" s="2" t="s">
        <v>1060</v>
      </c>
      <c r="E112" s="2" t="s">
        <v>1061</v>
      </c>
      <c r="F112" s="2" t="s">
        <v>1062</v>
      </c>
      <c r="G112" s="2" t="s">
        <v>1063</v>
      </c>
      <c r="H112" s="2" t="s">
        <v>29</v>
      </c>
      <c r="K112" s="6" t="s">
        <v>16</v>
      </c>
    </row>
    <row r="113" spans="1:11" x14ac:dyDescent="0.25">
      <c r="A113" s="5" t="s">
        <v>40</v>
      </c>
      <c r="B113" s="5" t="s">
        <v>15</v>
      </c>
      <c r="C113" s="2" t="s">
        <v>1064</v>
      </c>
      <c r="D113" s="2" t="s">
        <v>1065</v>
      </c>
      <c r="E113" s="2" t="s">
        <v>1066</v>
      </c>
      <c r="F113" s="2" t="s">
        <v>1067</v>
      </c>
      <c r="G113" s="2" t="s">
        <v>1068</v>
      </c>
      <c r="H113" s="2" t="s">
        <v>1069</v>
      </c>
      <c r="I113" s="2" t="s">
        <v>29</v>
      </c>
      <c r="K113" s="6" t="s">
        <v>1154</v>
      </c>
    </row>
    <row r="114" spans="1:11" x14ac:dyDescent="0.25">
      <c r="A114" s="5" t="s">
        <v>40</v>
      </c>
      <c r="B114" s="5" t="s">
        <v>17</v>
      </c>
      <c r="C114" s="2" t="s">
        <v>1070</v>
      </c>
      <c r="D114" s="2" t="s">
        <v>1071</v>
      </c>
      <c r="E114" s="2" t="s">
        <v>1072</v>
      </c>
      <c r="F114" s="2" t="s">
        <v>1073</v>
      </c>
      <c r="G114" s="2" t="s">
        <v>1074</v>
      </c>
      <c r="H114" s="2" t="s">
        <v>1075</v>
      </c>
      <c r="I114" s="2" t="s">
        <v>1076</v>
      </c>
      <c r="J114" s="2" t="s">
        <v>29</v>
      </c>
      <c r="K114" s="6" t="s">
        <v>1155</v>
      </c>
    </row>
    <row r="115" spans="1:11" x14ac:dyDescent="0.25">
      <c r="A115" s="5" t="s">
        <v>40</v>
      </c>
      <c r="B115" s="5" t="s">
        <v>18</v>
      </c>
      <c r="C115" s="2" t="s">
        <v>1077</v>
      </c>
      <c r="D115" s="2" t="s">
        <v>1078</v>
      </c>
      <c r="E115" s="2" t="s">
        <v>1079</v>
      </c>
      <c r="F115" s="2" t="s">
        <v>1080</v>
      </c>
      <c r="G115" s="2" t="s">
        <v>1081</v>
      </c>
      <c r="H115" s="2" t="s">
        <v>1082</v>
      </c>
      <c r="K115" s="6" t="s">
        <v>10</v>
      </c>
    </row>
    <row r="116" spans="1:11" x14ac:dyDescent="0.25">
      <c r="A116" s="5" t="s">
        <v>40</v>
      </c>
      <c r="B116" s="5" t="s">
        <v>20</v>
      </c>
      <c r="C116" s="2" t="s">
        <v>1083</v>
      </c>
      <c r="D116" s="2" t="s">
        <v>1084</v>
      </c>
      <c r="E116" s="2" t="s">
        <v>1085</v>
      </c>
      <c r="F116" s="2" t="s">
        <v>1086</v>
      </c>
      <c r="G116" s="2" t="s">
        <v>1087</v>
      </c>
      <c r="H116" s="2" t="s">
        <v>29</v>
      </c>
      <c r="K116" s="6" t="s">
        <v>12</v>
      </c>
    </row>
    <row r="117" spans="1:11" x14ac:dyDescent="0.25">
      <c r="A117" s="5" t="s">
        <v>40</v>
      </c>
      <c r="B117" s="5" t="s">
        <v>22</v>
      </c>
      <c r="C117" s="2" t="s">
        <v>1088</v>
      </c>
      <c r="D117" s="2" t="s">
        <v>1089</v>
      </c>
      <c r="E117" s="2" t="s">
        <v>1090</v>
      </c>
      <c r="F117" s="2" t="s">
        <v>1091</v>
      </c>
      <c r="G117" s="2" t="s">
        <v>1092</v>
      </c>
      <c r="H117" s="2" t="s">
        <v>29</v>
      </c>
      <c r="K117" s="6" t="s">
        <v>454</v>
      </c>
    </row>
    <row r="118" spans="1:11" x14ac:dyDescent="0.25">
      <c r="A118" s="5" t="s">
        <v>40</v>
      </c>
      <c r="B118" s="5" t="s">
        <v>23</v>
      </c>
      <c r="C118" s="2" t="s">
        <v>1093</v>
      </c>
      <c r="D118" s="2" t="s">
        <v>1094</v>
      </c>
      <c r="E118" s="2" t="s">
        <v>1095</v>
      </c>
      <c r="F118" s="2" t="s">
        <v>1096</v>
      </c>
      <c r="G118" s="2" t="s">
        <v>29</v>
      </c>
      <c r="K118" s="6" t="s">
        <v>16</v>
      </c>
    </row>
    <row r="119" spans="1:11" x14ac:dyDescent="0.25">
      <c r="A119" s="5" t="s">
        <v>40</v>
      </c>
      <c r="B119" s="5" t="s">
        <v>24</v>
      </c>
      <c r="C119" s="2" t="s">
        <v>1097</v>
      </c>
      <c r="D119" s="2" t="s">
        <v>1098</v>
      </c>
      <c r="E119" s="2" t="s">
        <v>1099</v>
      </c>
      <c r="F119" s="2" t="s">
        <v>1100</v>
      </c>
      <c r="G119" s="2" t="s">
        <v>1101</v>
      </c>
      <c r="H119" s="2" t="s">
        <v>1102</v>
      </c>
      <c r="I119" s="2" t="s">
        <v>29</v>
      </c>
      <c r="K119" s="6" t="s">
        <v>436</v>
      </c>
    </row>
    <row r="120" spans="1:11" x14ac:dyDescent="0.25">
      <c r="A120" s="5" t="s">
        <v>40</v>
      </c>
      <c r="B120" s="5" t="s">
        <v>25</v>
      </c>
      <c r="C120" s="2" t="s">
        <v>1103</v>
      </c>
      <c r="D120" s="2" t="s">
        <v>1098</v>
      </c>
      <c r="E120" s="2" t="s">
        <v>1101</v>
      </c>
      <c r="F120" s="2" t="s">
        <v>1104</v>
      </c>
      <c r="G120" s="2" t="s">
        <v>1105</v>
      </c>
      <c r="H120" s="2" t="s">
        <v>1106</v>
      </c>
      <c r="K120" s="6" t="s">
        <v>434</v>
      </c>
    </row>
    <row r="121" spans="1:11" x14ac:dyDescent="0.25">
      <c r="A121" s="5" t="s">
        <v>40</v>
      </c>
      <c r="B121" s="5" t="s">
        <v>26</v>
      </c>
      <c r="C121" s="2" t="s">
        <v>1107</v>
      </c>
      <c r="D121" s="2" t="s">
        <v>1108</v>
      </c>
      <c r="E121" s="2" t="s">
        <v>1109</v>
      </c>
      <c r="F121" s="2" t="s">
        <v>1110</v>
      </c>
      <c r="G121" s="2" t="s">
        <v>1111</v>
      </c>
      <c r="H121" s="2" t="s">
        <v>29</v>
      </c>
      <c r="K121" s="6" t="s">
        <v>10</v>
      </c>
    </row>
    <row r="122" spans="1:11" x14ac:dyDescent="0.25">
      <c r="A122" s="5" t="s">
        <v>40</v>
      </c>
      <c r="B122" s="5" t="s">
        <v>27</v>
      </c>
      <c r="C122" s="2" t="s">
        <v>1112</v>
      </c>
      <c r="D122" s="2" t="s">
        <v>1113</v>
      </c>
      <c r="E122" s="2" t="s">
        <v>1114</v>
      </c>
      <c r="F122" s="2" t="s">
        <v>1115</v>
      </c>
      <c r="G122" s="2" t="s">
        <v>1116</v>
      </c>
      <c r="H122" s="2" t="s">
        <v>1117</v>
      </c>
      <c r="I122" s="2" t="s">
        <v>1118</v>
      </c>
      <c r="J122" s="2" t="s">
        <v>29</v>
      </c>
      <c r="K122" s="6" t="s">
        <v>959</v>
      </c>
    </row>
    <row r="123" spans="1:11" x14ac:dyDescent="0.25">
      <c r="A123" s="5" t="s">
        <v>40</v>
      </c>
      <c r="B123" s="5" t="s">
        <v>954</v>
      </c>
      <c r="C123" s="2" t="s">
        <v>1119</v>
      </c>
      <c r="D123" s="2" t="s">
        <v>1120</v>
      </c>
      <c r="E123" s="2" t="s">
        <v>1121</v>
      </c>
      <c r="F123" s="2" t="s">
        <v>1122</v>
      </c>
      <c r="G123" s="2" t="s">
        <v>1123</v>
      </c>
      <c r="H123" s="2" t="s">
        <v>29</v>
      </c>
      <c r="K123" s="6" t="s">
        <v>21</v>
      </c>
    </row>
    <row r="124" spans="1:11" x14ac:dyDescent="0.25">
      <c r="A124" s="5" t="s">
        <v>40</v>
      </c>
      <c r="B124" s="5" t="s">
        <v>955</v>
      </c>
      <c r="C124" s="2" t="s">
        <v>1124</v>
      </c>
      <c r="D124" s="2" t="s">
        <v>12</v>
      </c>
      <c r="E124" s="2" t="s">
        <v>19</v>
      </c>
      <c r="F124" s="2" t="s">
        <v>16</v>
      </c>
      <c r="G124" s="2" t="s">
        <v>10</v>
      </c>
      <c r="H124" s="2" t="s">
        <v>29</v>
      </c>
      <c r="K124" s="6" t="s">
        <v>957</v>
      </c>
    </row>
    <row r="125" spans="1:11" x14ac:dyDescent="0.25">
      <c r="A125" s="5" t="s">
        <v>40</v>
      </c>
      <c r="B125" s="5" t="s">
        <v>1145</v>
      </c>
      <c r="C125" s="2" t="s">
        <v>1125</v>
      </c>
      <c r="D125" s="2" t="s">
        <v>1126</v>
      </c>
      <c r="E125" s="2" t="s">
        <v>1127</v>
      </c>
      <c r="F125" s="2" t="s">
        <v>1128</v>
      </c>
      <c r="G125" s="2" t="s">
        <v>1129</v>
      </c>
      <c r="H125" s="2" t="s">
        <v>1130</v>
      </c>
      <c r="I125" s="2" t="s">
        <v>1131</v>
      </c>
      <c r="J125" s="2" t="s">
        <v>29</v>
      </c>
      <c r="K125" s="6" t="s">
        <v>16</v>
      </c>
    </row>
    <row r="126" spans="1:11" x14ac:dyDescent="0.25">
      <c r="A126" s="5" t="s">
        <v>40</v>
      </c>
      <c r="B126" s="5" t="s">
        <v>1146</v>
      </c>
      <c r="C126" s="2" t="s">
        <v>1132</v>
      </c>
      <c r="D126" s="2" t="s">
        <v>1133</v>
      </c>
      <c r="E126" s="2" t="s">
        <v>1134</v>
      </c>
      <c r="F126" s="2" t="s">
        <v>1135</v>
      </c>
      <c r="G126" s="2" t="s">
        <v>1136</v>
      </c>
      <c r="H126" s="2" t="s">
        <v>1058</v>
      </c>
      <c r="I126" s="2" t="s">
        <v>29</v>
      </c>
      <c r="K126" s="6" t="s">
        <v>12</v>
      </c>
    </row>
    <row r="127" spans="1:11" x14ac:dyDescent="0.25">
      <c r="A127" s="5" t="s">
        <v>40</v>
      </c>
      <c r="B127" s="5" t="s">
        <v>1147</v>
      </c>
      <c r="C127" s="2" t="s">
        <v>1137</v>
      </c>
      <c r="D127" s="2" t="s">
        <v>1060</v>
      </c>
      <c r="E127" s="2" t="s">
        <v>1138</v>
      </c>
      <c r="F127" s="2" t="s">
        <v>1062</v>
      </c>
      <c r="G127" s="2" t="s">
        <v>1063</v>
      </c>
      <c r="H127" s="2" t="s">
        <v>29</v>
      </c>
      <c r="K127" s="6" t="s">
        <v>19</v>
      </c>
    </row>
    <row r="128" spans="1:11" x14ac:dyDescent="0.25">
      <c r="A128" s="5" t="s">
        <v>40</v>
      </c>
      <c r="B128" s="5" t="s">
        <v>1148</v>
      </c>
      <c r="C128" s="2" t="s">
        <v>1139</v>
      </c>
      <c r="D128" s="2" t="s">
        <v>1140</v>
      </c>
      <c r="E128" s="2" t="s">
        <v>1141</v>
      </c>
      <c r="F128" s="2" t="s">
        <v>1142</v>
      </c>
      <c r="G128" s="2" t="s">
        <v>1143</v>
      </c>
      <c r="H128" s="2" t="s">
        <v>1144</v>
      </c>
      <c r="I128" s="2" t="s">
        <v>29</v>
      </c>
      <c r="K128" s="6" t="s">
        <v>455</v>
      </c>
    </row>
  </sheetData>
  <autoFilter ref="A1:K312"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F993"/>
  <sheetViews>
    <sheetView workbookViewId="0"/>
  </sheetViews>
  <sheetFormatPr baseColWidth="10" defaultColWidth="14.42578125" defaultRowHeight="15" customHeight="1" x14ac:dyDescent="0.25"/>
  <cols>
    <col min="1" max="1" width="13.140625" style="8" customWidth="1"/>
    <col min="2" max="2" width="31" style="8" customWidth="1"/>
    <col min="3" max="3" width="21.5703125" style="8" customWidth="1"/>
    <col min="4" max="4" width="68.42578125" style="8" customWidth="1"/>
    <col min="5" max="7" width="14.42578125" style="8" customWidth="1"/>
    <col min="8" max="16384" width="14.42578125" style="8"/>
  </cols>
  <sheetData>
    <row r="1" spans="1:6" x14ac:dyDescent="0.25">
      <c r="A1" s="9" t="s">
        <v>0</v>
      </c>
      <c r="B1" s="9" t="s">
        <v>43</v>
      </c>
      <c r="C1" s="9" t="s">
        <v>1156</v>
      </c>
      <c r="D1" s="9" t="s">
        <v>28</v>
      </c>
      <c r="E1" s="10" t="s">
        <v>38</v>
      </c>
    </row>
    <row r="2" spans="1:6" ht="14.25" x14ac:dyDescent="0.25">
      <c r="A2" s="8" t="s">
        <v>228</v>
      </c>
      <c r="B2" s="8" t="s">
        <v>227</v>
      </c>
      <c r="C2" s="8">
        <v>4</v>
      </c>
      <c r="D2" s="8" t="str">
        <f>B2 &amp; " (" &amp; E2 &amp; " questions) --- " &amp; C2 &amp; " questions à l'examen"</f>
        <v>Le Feu (14 questions) --- 4 questions à l'examen</v>
      </c>
      <c r="E2" s="8">
        <f>COUNTIF(Liste_Questions!$A:$A,$A2)</f>
        <v>14</v>
      </c>
      <c r="F2" s="8">
        <f>COUNTIF(Liste_Questions!$C:$C,"["&amp;LEFT($A2,4)&amp;"]*")</f>
        <v>0</v>
      </c>
    </row>
    <row r="3" spans="1:6" ht="14.25" x14ac:dyDescent="0.25">
      <c r="A3" s="8" t="s">
        <v>229</v>
      </c>
      <c r="B3" s="8" t="s">
        <v>227</v>
      </c>
      <c r="C3" s="8">
        <v>4</v>
      </c>
      <c r="D3" s="8" t="str">
        <f t="shared" ref="D3:D12" si="0">B3 &amp; " (" &amp; E3 &amp; " questions) --- " &amp; C3 &amp; " questions à l'examen"</f>
        <v>Le Feu (9 questions) --- 4 questions à l'examen</v>
      </c>
      <c r="E3" s="8">
        <f>COUNTIF(Liste_Questions!$A:$A,$A3)</f>
        <v>9</v>
      </c>
      <c r="F3" s="8">
        <f>COUNTIF(Liste_Questions!$C:$C,"["&amp;LEFT($A3,4)&amp;"]*")</f>
        <v>0</v>
      </c>
    </row>
    <row r="4" spans="1:6" ht="14.25" x14ac:dyDescent="0.25">
      <c r="A4" s="8" t="s">
        <v>230</v>
      </c>
      <c r="B4" s="8" t="s">
        <v>231</v>
      </c>
      <c r="C4" s="8">
        <v>1</v>
      </c>
      <c r="D4" s="8" t="str">
        <f t="shared" si="0"/>
        <v>Classement des ERP (6 questions) --- 1 questions à l'examen</v>
      </c>
      <c r="E4" s="8">
        <f>COUNTIF(Liste_Questions!$A:$A,$A4)</f>
        <v>6</v>
      </c>
      <c r="F4" s="8">
        <f>COUNTIF(Liste_Questions!$C:$C,"["&amp;LEFT($A4,4)&amp;"]*")</f>
        <v>0</v>
      </c>
    </row>
    <row r="5" spans="1:6" ht="14.25" x14ac:dyDescent="0.25">
      <c r="A5" s="8" t="s">
        <v>39</v>
      </c>
      <c r="B5" s="8" t="s">
        <v>232</v>
      </c>
      <c r="C5" s="8">
        <v>1</v>
      </c>
      <c r="D5" s="8" t="str">
        <f t="shared" si="0"/>
        <v>Classement des IGH (7 questions) --- 1 questions à l'examen</v>
      </c>
      <c r="E5" s="8">
        <f>COUNTIF(Liste_Questions!$A:$A,$A5)</f>
        <v>7</v>
      </c>
      <c r="F5" s="8">
        <f>COUNTIF(Liste_Questions!$C:$C,"["&amp;LEFT($A5,4)&amp;"]*")</f>
        <v>0</v>
      </c>
    </row>
    <row r="6" spans="1:6" ht="14.25" x14ac:dyDescent="0.25">
      <c r="A6" s="8" t="s">
        <v>234</v>
      </c>
      <c r="B6" s="8" t="s">
        <v>233</v>
      </c>
      <c r="C6" s="8">
        <v>5</v>
      </c>
      <c r="D6" s="8" t="str">
        <f t="shared" si="0"/>
        <v>Sécurité incendie en ERP (14 questions) --- 5 questions à l'examen</v>
      </c>
      <c r="E6" s="8">
        <f>COUNTIF(Liste_Questions!$A:$A,$A6)</f>
        <v>14</v>
      </c>
      <c r="F6" s="8">
        <f>COUNTIF(Liste_Questions!$C:$C,"["&amp;LEFT($A6,4)&amp;"]*")</f>
        <v>0</v>
      </c>
    </row>
    <row r="7" spans="1:6" ht="14.25" x14ac:dyDescent="0.25">
      <c r="A7" s="8" t="s">
        <v>235</v>
      </c>
      <c r="B7" s="8" t="s">
        <v>233</v>
      </c>
      <c r="C7" s="8">
        <v>5</v>
      </c>
      <c r="D7" s="8" t="str">
        <f t="shared" si="0"/>
        <v>Sécurité incendie en ERP (12 questions) --- 5 questions à l'examen</v>
      </c>
      <c r="E7" s="8">
        <f>COUNTIF(Liste_Questions!$A:$A,$A7)</f>
        <v>12</v>
      </c>
      <c r="F7" s="8">
        <f>COUNTIF(Liste_Questions!$C:$C,"["&amp;LEFT($A7,4)&amp;"]*")</f>
        <v>0</v>
      </c>
    </row>
    <row r="8" spans="1:6" ht="14.25" x14ac:dyDescent="0.25">
      <c r="A8" s="8" t="s">
        <v>236</v>
      </c>
      <c r="B8" s="8" t="s">
        <v>237</v>
      </c>
      <c r="C8" s="8">
        <v>3</v>
      </c>
      <c r="D8" s="8" t="str">
        <f t="shared" si="0"/>
        <v>Sécurité incendie en IGH (16 questions) --- 3 questions à l'examen</v>
      </c>
      <c r="E8" s="8">
        <f>COUNTIF(Liste_Questions!$A:$A,$A8)</f>
        <v>16</v>
      </c>
      <c r="F8" s="8">
        <f>COUNTIF(Liste_Questions!$C:$C,"["&amp;LEFT($A8,4)&amp;"]*")</f>
        <v>0</v>
      </c>
    </row>
    <row r="9" spans="1:6" ht="14.25" x14ac:dyDescent="0.25">
      <c r="A9" s="8" t="s">
        <v>41</v>
      </c>
      <c r="B9" s="8" t="s">
        <v>238</v>
      </c>
      <c r="C9" s="8">
        <v>4</v>
      </c>
      <c r="D9" s="8" t="str">
        <f t="shared" si="0"/>
        <v>Les moyens de secours (13 questions) --- 4 questions à l'examen</v>
      </c>
      <c r="E9" s="8">
        <f>COUNTIF(Liste_Questions!$A:$A,$A9)</f>
        <v>13</v>
      </c>
      <c r="F9" s="8">
        <f>COUNTIF(Liste_Questions!$C:$C,"["&amp;LEFT($A9,4)&amp;"]*")</f>
        <v>0</v>
      </c>
    </row>
    <row r="10" spans="1:6" ht="14.25" x14ac:dyDescent="0.25">
      <c r="A10" s="8" t="s">
        <v>42</v>
      </c>
      <c r="B10" s="8" t="s">
        <v>239</v>
      </c>
      <c r="C10" s="8">
        <v>3</v>
      </c>
      <c r="D10" s="8" t="str">
        <f t="shared" si="0"/>
        <v>Les installations électriques (16 questions) --- 3 questions à l'examen</v>
      </c>
      <c r="E10" s="8">
        <f>COUNTIF(Liste_Questions!$A:$A,$A10)</f>
        <v>16</v>
      </c>
      <c r="F10" s="8">
        <f>COUNTIF(Liste_Questions!$C:$C,"["&amp;LEFT($A10,4)&amp;"]*")</f>
        <v>0</v>
      </c>
    </row>
    <row r="11" spans="1:6" ht="14.25" x14ac:dyDescent="0.25">
      <c r="A11" s="8" t="s">
        <v>40</v>
      </c>
      <c r="B11" s="8" t="s">
        <v>240</v>
      </c>
      <c r="C11" s="8">
        <v>4</v>
      </c>
      <c r="D11" s="8" t="str">
        <f t="shared" si="0"/>
        <v>Le S.S.I. (20 questions) --- 4 questions à l'examen</v>
      </c>
      <c r="E11" s="8">
        <f>COUNTIF(Liste_Questions!$A:$A,$A11)</f>
        <v>20</v>
      </c>
      <c r="F11" s="8">
        <f>COUNTIF(Liste_Questions!$C:$C,"["&amp;LEFT($A11,4)&amp;"]*")</f>
        <v>0</v>
      </c>
    </row>
    <row r="12" spans="1:6" ht="14.25" x14ac:dyDescent="0.25">
      <c r="A12" s="8" t="s">
        <v>241</v>
      </c>
      <c r="B12" s="8" t="s">
        <v>242</v>
      </c>
      <c r="C12" s="8">
        <v>5</v>
      </c>
      <c r="D12" s="8" t="str">
        <f t="shared" si="0"/>
        <v>Rôles et missions des agents (0 questions) --- 5 questions à l'examen</v>
      </c>
      <c r="E12" s="8">
        <f>COUNTIF(Liste_Questions!$A:$A,$A12)</f>
        <v>0</v>
      </c>
      <c r="F12" s="8">
        <f>COUNTIF(Liste_Questions!$C:$C,"["&amp;LEFT($A12,4)&amp;"]*")</f>
        <v>0</v>
      </c>
    </row>
    <row r="13" spans="1:6" ht="14.25" x14ac:dyDescent="0.25">
      <c r="A13" s="8" t="s">
        <v>243</v>
      </c>
      <c r="C13" s="8">
        <v>5</v>
      </c>
      <c r="D13" s="8" t="str">
        <f t="shared" ref="D2:D13" si="1">B13 &amp; " (" &amp; E13 &amp; " questions)"</f>
        <v xml:space="preserve"> (0 questions)</v>
      </c>
      <c r="E13" s="8">
        <f>COUNTIF(Liste_Questions!$A:$A,$A13)</f>
        <v>0</v>
      </c>
      <c r="F13" s="8">
        <f>COUNTIF(Liste_Questions!$C:$C,"["&amp;LEFT($A13,4)&amp;"]*")</f>
        <v>0</v>
      </c>
    </row>
    <row r="14" spans="1:6" ht="15" customHeight="1" x14ac:dyDescent="0.25">
      <c r="A14" s="8" t="s">
        <v>36</v>
      </c>
      <c r="D14" s="8" t="s">
        <v>44</v>
      </c>
      <c r="E14" s="8">
        <f>COUNTIF(Liste_Questions!$A:$A,$A14)</f>
        <v>0</v>
      </c>
    </row>
    <row r="15" spans="1:6" ht="15" customHeight="1" x14ac:dyDescent="0.25">
      <c r="A15" s="8" t="s">
        <v>37</v>
      </c>
      <c r="D15" s="8" t="s">
        <v>44</v>
      </c>
      <c r="E15" s="8">
        <f>COUNTIF(Liste_Questions!$A:$A,$A15)</f>
        <v>0</v>
      </c>
    </row>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150" workbookViewId="0">
      <selection activeCell="D153" sqref="D153"/>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458</v>
      </c>
      <c r="B1" s="7" t="e">
        <f>FIND(". ",A1)</f>
        <v>#VALUE!</v>
      </c>
      <c r="C1" s="7" t="e">
        <f>RIGHT(A1, LEN(A1)-(B1+1))</f>
        <v>#VALUE!</v>
      </c>
      <c r="D1" t="e" cm="1">
        <f t="array" ref="D1">_xlfn.TEXTSPLIT(C1,"|")</f>
        <v>#VALUE!</v>
      </c>
    </row>
    <row r="2" spans="1:11" ht="20.25" x14ac:dyDescent="0.25">
      <c r="A2" s="13" t="s">
        <v>459</v>
      </c>
      <c r="B2" s="7" t="e">
        <f>FIND(". ",A2)</f>
        <v>#VALUE!</v>
      </c>
      <c r="C2" s="7" t="e">
        <f t="shared" ref="C2:C34" si="0">RIGHT(A2, LEN(A2)-(B2+1))</f>
        <v>#VALUE!</v>
      </c>
      <c r="D2" t="e" cm="1">
        <f t="array" ref="D2">_xlfn.TEXTSPLIT(C2,"|")</f>
        <v>#VALUE!</v>
      </c>
    </row>
    <row r="3" spans="1:11" x14ac:dyDescent="0.25">
      <c r="A3" s="15" t="s">
        <v>460</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461</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462</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463</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464</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465</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466</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467</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468</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469</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470</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471</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472</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473</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474</v>
      </c>
      <c r="B17" s="7" t="e">
        <f t="shared" si="1"/>
        <v>#VALUE!</v>
      </c>
      <c r="C17" s="7" t="e">
        <f t="shared" si="0"/>
        <v>#VALUE!</v>
      </c>
      <c r="D17" t="e" cm="1">
        <f t="array" ref="D17">_xlfn.TEXTSPLIT(C17,"|")</f>
        <v>#VALUE!</v>
      </c>
    </row>
    <row r="18" spans="1:11" x14ac:dyDescent="0.25">
      <c r="A18" s="15" t="s">
        <v>475</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476</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477</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478</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479</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480</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481</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482</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483</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484</v>
      </c>
      <c r="B27" s="7" t="e">
        <f t="shared" si="1"/>
        <v>#VALUE!</v>
      </c>
      <c r="C27" s="7" t="e">
        <f t="shared" si="0"/>
        <v>#VALUE!</v>
      </c>
      <c r="D27" t="e" cm="1">
        <f t="array" ref="D27">_xlfn.TEXTSPLIT(C27,"|")</f>
        <v>#VALUE!</v>
      </c>
    </row>
    <row r="28" spans="1:11" ht="20.25" x14ac:dyDescent="0.25">
      <c r="A28" s="13" t="s">
        <v>485</v>
      </c>
      <c r="B28" s="7" t="e">
        <f t="shared" si="1"/>
        <v>#VALUE!</v>
      </c>
      <c r="C28" s="7" t="e">
        <f t="shared" si="0"/>
        <v>#VALUE!</v>
      </c>
      <c r="D28" t="e" cm="1">
        <f t="array" ref="D28">_xlfn.TEXTSPLIT(C28,"|")</f>
        <v>#VALUE!</v>
      </c>
    </row>
    <row r="29" spans="1:11" x14ac:dyDescent="0.25">
      <c r="A29" s="15" t="s">
        <v>486</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487</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488</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489</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490</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491</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492</v>
      </c>
      <c r="B35" s="7" t="e">
        <f t="shared" ref="B35:B98" si="2">FIND(". ",A35)</f>
        <v>#VALUE!</v>
      </c>
      <c r="C35" s="7" t="e">
        <f t="shared" ref="C35:C98" si="3">RIGHT(A35, LEN(A35)-(B35+1))</f>
        <v>#VALUE!</v>
      </c>
      <c r="D35" t="e" cm="1">
        <f t="array" ref="D35">_xlfn.TEXTSPLIT(C35,"|")</f>
        <v>#VALUE!</v>
      </c>
    </row>
    <row r="36" spans="1:11" ht="20.25" x14ac:dyDescent="0.25">
      <c r="A36" s="13" t="s">
        <v>493</v>
      </c>
      <c r="B36" s="7" t="e">
        <f t="shared" si="2"/>
        <v>#VALUE!</v>
      </c>
      <c r="C36" s="7" t="e">
        <f t="shared" si="3"/>
        <v>#VALUE!</v>
      </c>
      <c r="D36" t="e" cm="1">
        <f t="array" ref="D36">_xlfn.TEXTSPLIT(C36,"|")</f>
        <v>#VALUE!</v>
      </c>
    </row>
    <row r="37" spans="1:11" x14ac:dyDescent="0.25">
      <c r="A37" s="15" t="s">
        <v>494</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495</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496</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497</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498</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499</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500</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501</v>
      </c>
      <c r="B44" s="7" t="e">
        <f t="shared" si="2"/>
        <v>#VALUE!</v>
      </c>
      <c r="C44" s="7" t="e">
        <f t="shared" si="3"/>
        <v>#VALUE!</v>
      </c>
      <c r="D44" t="e" cm="1">
        <f t="array" ref="D44">_xlfn.TEXTSPLIT(C44,"|")</f>
        <v>#VALUE!</v>
      </c>
    </row>
    <row r="45" spans="1:11" ht="20.25" x14ac:dyDescent="0.25">
      <c r="A45" s="13" t="s">
        <v>502</v>
      </c>
      <c r="B45" s="7" t="e">
        <f t="shared" si="2"/>
        <v>#VALUE!</v>
      </c>
      <c r="C45" s="7" t="e">
        <f t="shared" si="3"/>
        <v>#VALUE!</v>
      </c>
      <c r="D45" t="e" cm="1">
        <f t="array" ref="D45">_xlfn.TEXTSPLIT(C45,"|")</f>
        <v>#VALUE!</v>
      </c>
    </row>
    <row r="46" spans="1:11" x14ac:dyDescent="0.25">
      <c r="A46" s="15" t="s">
        <v>503</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504</v>
      </c>
      <c r="B47" s="7" t="e">
        <f t="shared" si="2"/>
        <v>#VALUE!</v>
      </c>
      <c r="C47" s="7" t="e">
        <f t="shared" si="3"/>
        <v>#VALUE!</v>
      </c>
      <c r="D47" t="e" cm="1">
        <f t="array" ref="D47">_xlfn.TEXTSPLIT(C47,"|")</f>
        <v>#VALUE!</v>
      </c>
    </row>
    <row r="48" spans="1:11" x14ac:dyDescent="0.25">
      <c r="A48" s="15" t="s">
        <v>505</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506</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507</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508</v>
      </c>
      <c r="B51" s="7" t="e">
        <f t="shared" si="2"/>
        <v>#VALUE!</v>
      </c>
      <c r="C51" s="7" t="e">
        <f t="shared" si="3"/>
        <v>#VALUE!</v>
      </c>
      <c r="D51" t="e" cm="1">
        <f t="array" ref="D51">_xlfn.TEXTSPLIT(C51,"|")</f>
        <v>#VALUE!</v>
      </c>
    </row>
    <row r="52" spans="1:11" x14ac:dyDescent="0.25">
      <c r="A52" s="15" t="s">
        <v>509</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510</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511</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512</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513</v>
      </c>
      <c r="B57" s="7" t="e">
        <f t="shared" si="2"/>
        <v>#VALUE!</v>
      </c>
      <c r="C57" s="7" t="e">
        <f t="shared" si="3"/>
        <v>#VALUE!</v>
      </c>
      <c r="D57" t="e" cm="1">
        <f t="array" ref="D57">_xlfn.TEXTSPLIT(C57,"|")</f>
        <v>#VALUE!</v>
      </c>
    </row>
    <row r="58" spans="1:11" x14ac:dyDescent="0.25">
      <c r="A58" s="15" t="s">
        <v>514</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515</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516</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517</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518</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519</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520</v>
      </c>
      <c r="B64" s="7" t="e">
        <f t="shared" si="2"/>
        <v>#VALUE!</v>
      </c>
      <c r="C64" s="7" t="e">
        <f t="shared" si="3"/>
        <v>#VALUE!</v>
      </c>
      <c r="D64" t="e" cm="1">
        <f t="array" ref="D64">_xlfn.TEXTSPLIT(C64,"|")</f>
        <v>#VALUE!</v>
      </c>
    </row>
    <row r="65" spans="1:11" x14ac:dyDescent="0.25">
      <c r="A65" s="15" t="s">
        <v>521</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522</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523</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524</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525</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526</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527</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528</v>
      </c>
      <c r="B72" s="7" t="e">
        <f t="shared" si="2"/>
        <v>#VALUE!</v>
      </c>
      <c r="C72" s="7" t="e">
        <f t="shared" si="3"/>
        <v>#VALUE!</v>
      </c>
      <c r="D72" t="e" cm="1">
        <f t="array" ref="D72">_xlfn.TEXTSPLIT(C72,"|")</f>
        <v>#VALUE!</v>
      </c>
    </row>
    <row r="73" spans="1:11" x14ac:dyDescent="0.25">
      <c r="A73" s="15" t="s">
        <v>529</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530</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531</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532</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533</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534</v>
      </c>
      <c r="B78" s="7" t="e">
        <f t="shared" si="2"/>
        <v>#VALUE!</v>
      </c>
      <c r="C78" s="7" t="e">
        <f t="shared" si="3"/>
        <v>#VALUE!</v>
      </c>
      <c r="D78" t="e" cm="1">
        <f t="array" ref="D78">_xlfn.TEXTSPLIT(C78,"|")</f>
        <v>#VALUE!</v>
      </c>
    </row>
    <row r="79" spans="1:11" x14ac:dyDescent="0.25">
      <c r="A79" s="15" t="s">
        <v>535</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536</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537</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538</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539</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540</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541</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542</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543</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544</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545</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546</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547</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548</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549</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550</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551</v>
      </c>
      <c r="B95" s="7" t="e">
        <f t="shared" si="2"/>
        <v>#VALUE!</v>
      </c>
      <c r="C95" s="7" t="e">
        <f t="shared" si="3"/>
        <v>#VALUE!</v>
      </c>
      <c r="D95" t="e" cm="1">
        <f t="array" ref="D95">_xlfn.TEXTSPLIT(C95,"|")</f>
        <v>#VALUE!</v>
      </c>
    </row>
    <row r="96" spans="1:11" x14ac:dyDescent="0.25">
      <c r="A96" s="15" t="s">
        <v>552</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553</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554</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555</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556</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557</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558</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559</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560</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561</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562</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563</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564</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565</v>
      </c>
      <c r="B109" s="7" t="e">
        <f t="shared" si="4"/>
        <v>#VALUE!</v>
      </c>
      <c r="C109" s="7" t="e">
        <f t="shared" si="5"/>
        <v>#VALUE!</v>
      </c>
      <c r="D109" t="e" cm="1">
        <f t="array" ref="D109">_xlfn.TEXTSPLIT(C109,"|")</f>
        <v>#VALUE!</v>
      </c>
    </row>
    <row r="110" spans="1:10" ht="20.25" x14ac:dyDescent="0.25">
      <c r="A110" s="13" t="s">
        <v>566</v>
      </c>
      <c r="B110" s="7" t="e">
        <f t="shared" si="4"/>
        <v>#VALUE!</v>
      </c>
      <c r="C110" s="7" t="e">
        <f t="shared" si="5"/>
        <v>#VALUE!</v>
      </c>
      <c r="D110" t="e" cm="1">
        <f t="array" ref="D110">_xlfn.TEXTSPLIT(C110,"|")</f>
        <v>#VALUE!</v>
      </c>
    </row>
    <row r="111" spans="1:10" x14ac:dyDescent="0.25">
      <c r="A111" s="15" t="s">
        <v>567</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5" t="s">
        <v>568</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5" t="s">
        <v>569</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5" t="s">
        <v>570</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5" t="s">
        <v>571</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572</v>
      </c>
      <c r="B116" s="7" t="e">
        <f t="shared" si="4"/>
        <v>#VALUE!</v>
      </c>
      <c r="C116" s="7" t="e">
        <f t="shared" si="5"/>
        <v>#VALUE!</v>
      </c>
      <c r="D116" t="e" cm="1">
        <f t="array" ref="D116">_xlfn.TEXTSPLIT(C116,"|")</f>
        <v>#VALUE!</v>
      </c>
    </row>
    <row r="117" spans="1:11" x14ac:dyDescent="0.25">
      <c r="A117" s="15" t="s">
        <v>573</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5" t="s">
        <v>574</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575</v>
      </c>
      <c r="B119" s="7" t="e">
        <f t="shared" si="4"/>
        <v>#VALUE!</v>
      </c>
      <c r="C119" s="7" t="e">
        <f t="shared" si="5"/>
        <v>#VALUE!</v>
      </c>
      <c r="D119" t="e" cm="1">
        <f t="array" ref="D119">_xlfn.TEXTSPLIT(C119,"|")</f>
        <v>#VALUE!</v>
      </c>
    </row>
    <row r="120" spans="1:11" x14ac:dyDescent="0.25">
      <c r="A120" s="15" t="s">
        <v>576</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5" t="s">
        <v>577</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5" t="s">
        <v>578</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5" t="s">
        <v>579</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5" t="s">
        <v>580</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5" t="s">
        <v>581</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5" t="s">
        <v>582</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583</v>
      </c>
      <c r="B127" s="7" t="e">
        <f t="shared" si="4"/>
        <v>#VALUE!</v>
      </c>
      <c r="C127" s="7" t="e">
        <f t="shared" si="5"/>
        <v>#VALUE!</v>
      </c>
      <c r="D127" t="e" cm="1">
        <f t="array" ref="D127">_xlfn.TEXTSPLIT(C127,"|")</f>
        <v>#VALUE!</v>
      </c>
    </row>
    <row r="128" spans="1:11" x14ac:dyDescent="0.25">
      <c r="A128" s="15" t="s">
        <v>584</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5" t="s">
        <v>585</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586</v>
      </c>
      <c r="B130" s="7">
        <f t="shared" si="4"/>
        <v>13</v>
      </c>
      <c r="C130" s="7" t="str">
        <f t="shared" si="5"/>
        <v>(4)</v>
      </c>
      <c r="D130" t="str" cm="1">
        <f t="array" ref="D130">_xlfn.TEXTSPLIT(C130,"|")</f>
        <v>(4)</v>
      </c>
    </row>
    <row r="131" spans="1:11" x14ac:dyDescent="0.25">
      <c r="A131" s="15" t="s">
        <v>587</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5" t="s">
        <v>588</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5" t="s">
        <v>589</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5" t="s">
        <v>590</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5" t="s">
        <v>591</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5" t="s">
        <v>592</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5" t="s">
        <v>593</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5" t="s">
        <v>594</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5" t="s">
        <v>595</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5" t="s">
        <v>596</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5" t="s">
        <v>597</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5" t="s">
        <v>598</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5" t="s">
        <v>599</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5" t="s">
        <v>600</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5" t="s">
        <v>601</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5" t="s">
        <v>602</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5" t="s">
        <v>603</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5" t="s">
        <v>604</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5" t="s">
        <v>605</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5" t="s">
        <v>606</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607</v>
      </c>
      <c r="B151" s="7" t="e">
        <f t="shared" si="4"/>
        <v>#VALUE!</v>
      </c>
      <c r="C151" s="7" t="e">
        <f t="shared" si="5"/>
        <v>#VALUE!</v>
      </c>
      <c r="D151" t="e" cm="1">
        <f t="array" ref="D151">_xlfn.TEXTSPLIT(C151,"|")</f>
        <v>#VALUE!</v>
      </c>
    </row>
    <row r="152" spans="1:11" ht="20.25" x14ac:dyDescent="0.25">
      <c r="A152" s="13" t="s">
        <v>608</v>
      </c>
      <c r="B152" s="7" t="e">
        <f t="shared" si="4"/>
        <v>#VALUE!</v>
      </c>
      <c r="C152" s="7" t="e">
        <f t="shared" si="5"/>
        <v>#VALUE!</v>
      </c>
      <c r="D152" t="e" cm="1">
        <f t="array" ref="D152">_xlfn.TEXTSPLIT(C152,"|")</f>
        <v>#VALUE!</v>
      </c>
    </row>
    <row r="153" spans="1:11" x14ac:dyDescent="0.25">
      <c r="A153" s="14" t="s">
        <v>609</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4" t="s">
        <v>610</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4" t="s">
        <v>611</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4" t="s">
        <v>612</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4" t="s">
        <v>613</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614</v>
      </c>
      <c r="B158" s="7" t="e">
        <f t="shared" si="4"/>
        <v>#VALUE!</v>
      </c>
      <c r="C158" s="7" t="e">
        <f t="shared" si="5"/>
        <v>#VALUE!</v>
      </c>
      <c r="D158" t="e" cm="1">
        <f t="array" ref="D158">_xlfn.TEXTSPLIT(C158,"|")</f>
        <v>#VALUE!</v>
      </c>
    </row>
    <row r="159" spans="1:11" x14ac:dyDescent="0.25">
      <c r="A159" s="14" t="s">
        <v>615</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4" t="s">
        <v>616</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4" t="s">
        <v>617</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4" t="s">
        <v>618</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619</v>
      </c>
      <c r="B163" s="7" t="e">
        <f t="shared" ref="B163:B224" si="6">FIND(". ",A163)</f>
        <v>#VALUE!</v>
      </c>
      <c r="C163" s="7" t="e">
        <f t="shared" ref="C163:C224" si="7">RIGHT(A163, LEN(A163)-(B163+1))</f>
        <v>#VALUE!</v>
      </c>
      <c r="D163" t="e" cm="1">
        <f t="array" ref="D163">_xlfn.TEXTSPLIT(C163,"|")</f>
        <v>#VALUE!</v>
      </c>
    </row>
    <row r="164" spans="1:10" x14ac:dyDescent="0.25">
      <c r="A164" s="14" t="s">
        <v>620</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4" t="s">
        <v>621</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4" t="s">
        <v>622</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623</v>
      </c>
      <c r="B167" s="7" t="e">
        <f t="shared" si="6"/>
        <v>#VALUE!</v>
      </c>
      <c r="C167" s="7" t="e">
        <f t="shared" si="7"/>
        <v>#VALUE!</v>
      </c>
      <c r="D167" t="e" cm="1">
        <f t="array" ref="D167">_xlfn.TEXTSPLIT(C167,"|")</f>
        <v>#VALUE!</v>
      </c>
    </row>
    <row r="168" spans="1:10" x14ac:dyDescent="0.25">
      <c r="A168" s="14" t="s">
        <v>624</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4" t="s">
        <v>625</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4" t="s">
        <v>626</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4" t="s">
        <v>627</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628</v>
      </c>
      <c r="B172" s="7" t="e">
        <f t="shared" si="6"/>
        <v>#VALUE!</v>
      </c>
      <c r="C172" s="7" t="e">
        <f t="shared" si="7"/>
        <v>#VALUE!</v>
      </c>
      <c r="D172" t="e" cm="1">
        <f t="array" ref="D172">_xlfn.TEXTSPLIT(C172,"|")</f>
        <v>#VALUE!</v>
      </c>
    </row>
    <row r="173" spans="1:10" x14ac:dyDescent="0.25">
      <c r="A173" s="14" t="s">
        <v>629</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630</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631</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632</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633</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634</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635</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636</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637</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638</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639</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640</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641</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642</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643</v>
      </c>
      <c r="B187" s="7" t="e">
        <f t="shared" si="6"/>
        <v>#VALUE!</v>
      </c>
      <c r="C187" s="7" t="e">
        <f t="shared" si="7"/>
        <v>#VALUE!</v>
      </c>
      <c r="D187" t="e" cm="1">
        <f t="array" ref="D187">_xlfn.TEXTSPLIT(C187,"|")</f>
        <v>#VALUE!</v>
      </c>
    </row>
    <row r="188" spans="1:11" x14ac:dyDescent="0.25">
      <c r="A188" s="14" t="s">
        <v>644</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645</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646</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647</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648</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649</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650</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651</v>
      </c>
      <c r="B195" s="7" t="e">
        <f t="shared" si="6"/>
        <v>#VALUE!</v>
      </c>
      <c r="C195" s="7" t="e">
        <f t="shared" si="7"/>
        <v>#VALUE!</v>
      </c>
      <c r="D195" t="e" cm="1">
        <f t="array" ref="D195">_xlfn.TEXTSPLIT(C195,"|")</f>
        <v>#VALUE!</v>
      </c>
    </row>
    <row r="196" spans="1:11" x14ac:dyDescent="0.25">
      <c r="A196" s="14" t="s">
        <v>652</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653</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654</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655</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656</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657</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658</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659</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681</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660</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661</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662</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663</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664</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665</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666</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667</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668</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669</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670</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671</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672</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673</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674</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675</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676</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680</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677</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678</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679</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2025-12-08T17:09:38Z</dcterms:modified>
</cp:coreProperties>
</file>